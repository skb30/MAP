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330" yWindow="1050" windowWidth="17190" windowHeight="11010" tabRatio="953" activeTab="1"/>
  </bookViews>
  <sheets>
    <sheet name="FY10 Totals" sheetId="27" r:id="rId1"/>
    <sheet name="FY2010 Coverage" sheetId="21" r:id="rId2"/>
    <sheet name="Coverage-Detail-ProJcl-2010" sheetId="19" r:id="rId3"/>
    <sheet name="Coverage-Detail-Infox-2010" sheetId="25" r:id="rId4"/>
    <sheet name="Automation FY2010" sheetId="24" r:id="rId5"/>
    <sheet name="Automation FY09" sheetId="17" r:id="rId6"/>
    <sheet name="FY09 Totals" sheetId="16" r:id="rId7"/>
    <sheet name="FY 2009 Coverage" sheetId="15" r:id="rId8"/>
  </sheets>
  <definedNames>
    <definedName name="_xlnm.Print_Titles" localSheetId="5">'Automation FY09'!$1:$1</definedName>
  </definedNames>
  <calcPr calcId="125725"/>
</workbook>
</file>

<file path=xl/calcChain.xml><?xml version="1.0" encoding="utf-8"?>
<calcChain xmlns="http://schemas.openxmlformats.org/spreadsheetml/2006/main">
  <c r="J33" i="21"/>
  <c r="I33"/>
  <c r="H33"/>
  <c r="G33"/>
  <c r="A355" i="19"/>
  <c r="A246" i="25"/>
  <c r="J59" i="21" s="1"/>
  <c r="G17" i="27" s="1"/>
  <c r="A245" i="25"/>
  <c r="I59" i="21" s="1"/>
  <c r="F17" i="27" s="1"/>
  <c r="A244" i="25"/>
  <c r="H59" i="21" s="1"/>
  <c r="E17" i="27" s="1"/>
  <c r="A243" i="25"/>
  <c r="G59" i="21" s="1"/>
  <c r="D17" i="27" s="1"/>
  <c r="A241" i="25"/>
  <c r="J60" i="21" s="1"/>
  <c r="A240" i="25"/>
  <c r="I60" i="21" s="1"/>
  <c r="A239" i="25"/>
  <c r="H60" i="21" s="1"/>
  <c r="A238" i="25"/>
  <c r="G60" i="21" s="1"/>
  <c r="A236" i="25"/>
  <c r="J58" i="21" s="1"/>
  <c r="A235" i="25"/>
  <c r="I58" i="21" s="1"/>
  <c r="A234" i="25"/>
  <c r="A233"/>
  <c r="A363" i="19"/>
  <c r="A362"/>
  <c r="A361"/>
  <c r="A357"/>
  <c r="A358"/>
  <c r="A360"/>
  <c r="A356"/>
  <c r="A353"/>
  <c r="A352"/>
  <c r="A351"/>
  <c r="H58" i="21"/>
  <c r="A350" i="19"/>
  <c r="G58" i="21" s="1"/>
  <c r="A96" i="25"/>
  <c r="E96"/>
  <c r="K17" i="27"/>
  <c r="H17"/>
  <c r="B17"/>
  <c r="C17"/>
  <c r="C16"/>
  <c r="J17"/>
  <c r="E231" i="19"/>
  <c r="E87"/>
  <c r="F4" i="21" s="1"/>
  <c r="E32" i="19"/>
  <c r="F12" i="21"/>
  <c r="A32" i="19"/>
  <c r="E343"/>
  <c r="F19" i="21" s="1"/>
  <c r="E320" i="19"/>
  <c r="E300"/>
  <c r="F18" i="21" s="1"/>
  <c r="E288" i="19"/>
  <c r="F17" i="21" s="1"/>
  <c r="E284" i="19"/>
  <c r="F16" i="21" s="1"/>
  <c r="E274" i="19"/>
  <c r="F15" i="21" s="1"/>
  <c r="E264" i="19"/>
  <c r="F14" i="21" s="1"/>
  <c r="E260" i="19"/>
  <c r="F13" i="21" s="1"/>
  <c r="E179" i="19"/>
  <c r="F11" i="21" s="1"/>
  <c r="E168" i="19"/>
  <c r="F10" i="21" s="1"/>
  <c r="E146" i="19"/>
  <c r="F9" i="21" s="1"/>
  <c r="E142" i="19"/>
  <c r="F8" i="21" s="1"/>
  <c r="E138" i="19"/>
  <c r="F7" i="21" s="1"/>
  <c r="E111" i="19"/>
  <c r="F6" i="21" s="1"/>
  <c r="E105" i="19"/>
  <c r="F5" i="21" s="1"/>
  <c r="E12" i="19"/>
  <c r="F2" i="21" s="1"/>
  <c r="H38"/>
  <c r="F33"/>
  <c r="F27"/>
  <c r="E223" i="25"/>
  <c r="F48" i="21" s="1"/>
  <c r="E217" i="25"/>
  <c r="F47" i="21" s="1"/>
  <c r="E210" i="25"/>
  <c r="F46" i="21" s="1"/>
  <c r="E199" i="25"/>
  <c r="F45" i="21" s="1"/>
  <c r="E186" i="25"/>
  <c r="F44" i="21" s="1"/>
  <c r="E174" i="25"/>
  <c r="F43" i="21" s="1"/>
  <c r="E169" i="25"/>
  <c r="F42" i="21" s="1"/>
  <c r="E157" i="25"/>
  <c r="F41" i="21" s="1"/>
  <c r="E147" i="25"/>
  <c r="F40" i="21" s="1"/>
  <c r="E143" i="25"/>
  <c r="F39" i="21" s="1"/>
  <c r="E131" i="25"/>
  <c r="F38" i="21" s="1"/>
  <c r="E117" i="25"/>
  <c r="F37" i="21" s="1"/>
  <c r="E110" i="25"/>
  <c r="F36" i="21" s="1"/>
  <c r="E105" i="25"/>
  <c r="F35" i="21" s="1"/>
  <c r="E101" i="25"/>
  <c r="F34" i="21" s="1"/>
  <c r="E91" i="25"/>
  <c r="F32" i="21" s="1"/>
  <c r="E85" i="25"/>
  <c r="F31" i="21" s="1"/>
  <c r="E81" i="25"/>
  <c r="F30" i="21" s="1"/>
  <c r="E67" i="25"/>
  <c r="F29" i="21" s="1"/>
  <c r="E45" i="25"/>
  <c r="F28" i="21" s="1"/>
  <c r="E22" i="25"/>
  <c r="E9"/>
  <c r="F26" i="21" s="1"/>
  <c r="F60" s="1"/>
  <c r="C229" i="25"/>
  <c r="C228"/>
  <c r="L59" i="21"/>
  <c r="K59"/>
  <c r="E59"/>
  <c r="H48"/>
  <c r="H26"/>
  <c r="K49"/>
  <c r="L7"/>
  <c r="A138" i="19"/>
  <c r="E7" i="21" s="1"/>
  <c r="M7" s="1"/>
  <c r="J26"/>
  <c r="H19"/>
  <c r="I19"/>
  <c r="J19"/>
  <c r="G19"/>
  <c r="H18"/>
  <c r="I18"/>
  <c r="J18"/>
  <c r="G18"/>
  <c r="H17"/>
  <c r="I17"/>
  <c r="J17"/>
  <c r="G17"/>
  <c r="H16"/>
  <c r="I16"/>
  <c r="J16"/>
  <c r="G16"/>
  <c r="H15"/>
  <c r="I15"/>
  <c r="J15"/>
  <c r="G15"/>
  <c r="H14"/>
  <c r="I14"/>
  <c r="J14"/>
  <c r="G14"/>
  <c r="H13"/>
  <c r="I13"/>
  <c r="J13"/>
  <c r="G13"/>
  <c r="H11"/>
  <c r="H12"/>
  <c r="I11"/>
  <c r="I12"/>
  <c r="J12"/>
  <c r="G12"/>
  <c r="J11"/>
  <c r="G11"/>
  <c r="H10"/>
  <c r="I10"/>
  <c r="J10"/>
  <c r="G10"/>
  <c r="H9"/>
  <c r="I9"/>
  <c r="J9"/>
  <c r="G9"/>
  <c r="H8"/>
  <c r="I8"/>
  <c r="J8"/>
  <c r="G8"/>
  <c r="H7"/>
  <c r="I7"/>
  <c r="J7"/>
  <c r="G7"/>
  <c r="I6"/>
  <c r="H6"/>
  <c r="J6"/>
  <c r="G6"/>
  <c r="H5"/>
  <c r="I5"/>
  <c r="J5"/>
  <c r="G5"/>
  <c r="H4"/>
  <c r="I4"/>
  <c r="J4"/>
  <c r="G4"/>
  <c r="H3"/>
  <c r="I3"/>
  <c r="J3"/>
  <c r="G3"/>
  <c r="I2"/>
  <c r="J2"/>
  <c r="H2"/>
  <c r="G2"/>
  <c r="H37"/>
  <c r="I37"/>
  <c r="J37"/>
  <c r="G37"/>
  <c r="H36"/>
  <c r="I36"/>
  <c r="J36"/>
  <c r="G36"/>
  <c r="H35"/>
  <c r="I35"/>
  <c r="J35"/>
  <c r="G35"/>
  <c r="H34"/>
  <c r="I34"/>
  <c r="J34"/>
  <c r="G34"/>
  <c r="H32"/>
  <c r="I32"/>
  <c r="J32"/>
  <c r="G32"/>
  <c r="H31"/>
  <c r="I31"/>
  <c r="J31"/>
  <c r="G31"/>
  <c r="H30"/>
  <c r="I30"/>
  <c r="J30"/>
  <c r="G30"/>
  <c r="H29"/>
  <c r="I29"/>
  <c r="J29"/>
  <c r="G29"/>
  <c r="H28"/>
  <c r="I28"/>
  <c r="J28"/>
  <c r="G28"/>
  <c r="G27"/>
  <c r="H27"/>
  <c r="I27"/>
  <c r="J27"/>
  <c r="I26"/>
  <c r="G26"/>
  <c r="I42"/>
  <c r="J41"/>
  <c r="I41"/>
  <c r="H41"/>
  <c r="G41"/>
  <c r="J42"/>
  <c r="G42"/>
  <c r="J43"/>
  <c r="G45"/>
  <c r="H44"/>
  <c r="I44"/>
  <c r="J44"/>
  <c r="H46"/>
  <c r="H45"/>
  <c r="I45"/>
  <c r="J45"/>
  <c r="I46"/>
  <c r="J46"/>
  <c r="G46"/>
  <c r="H47"/>
  <c r="I47"/>
  <c r="J47"/>
  <c r="G47"/>
  <c r="I48"/>
  <c r="J48"/>
  <c r="G48"/>
  <c r="G44"/>
  <c r="I43"/>
  <c r="G43"/>
  <c r="H43"/>
  <c r="H42"/>
  <c r="A174" i="25"/>
  <c r="E43" i="21" s="1"/>
  <c r="J40"/>
  <c r="I40"/>
  <c r="J39"/>
  <c r="I39"/>
  <c r="J38"/>
  <c r="I38"/>
  <c r="H40"/>
  <c r="G40"/>
  <c r="H39"/>
  <c r="G39"/>
  <c r="G38"/>
  <c r="A223" i="25"/>
  <c r="E48" i="21" s="1"/>
  <c r="A217" i="25"/>
  <c r="E47" i="21" s="1"/>
  <c r="A210" i="25"/>
  <c r="E46" i="21" s="1"/>
  <c r="A199" i="25"/>
  <c r="E45" i="21" s="1"/>
  <c r="A186" i="25"/>
  <c r="E44" i="21" s="1"/>
  <c r="A169" i="25"/>
  <c r="E42" i="21" s="1"/>
  <c r="A157" i="25"/>
  <c r="E41" i="21" s="1"/>
  <c r="A147" i="25"/>
  <c r="E40" i="21" s="1"/>
  <c r="A143" i="25"/>
  <c r="E39" i="21" s="1"/>
  <c r="A131" i="25"/>
  <c r="E38" i="21" s="1"/>
  <c r="A117" i="25"/>
  <c r="E37" i="21" s="1"/>
  <c r="A110" i="25"/>
  <c r="E36" i="21" s="1"/>
  <c r="A105" i="25"/>
  <c r="E35" i="21" s="1"/>
  <c r="A101" i="25"/>
  <c r="E34" i="21" s="1"/>
  <c r="E33"/>
  <c r="A91" i="25"/>
  <c r="E32" i="21" s="1"/>
  <c r="A85" i="25"/>
  <c r="E31" i="21" s="1"/>
  <c r="A81" i="25"/>
  <c r="E30" i="21" s="1"/>
  <c r="A67" i="25"/>
  <c r="E29" i="21" s="1"/>
  <c r="A45" i="25"/>
  <c r="E28" i="21" s="1"/>
  <c r="A21" i="25"/>
  <c r="E27" i="21" s="1"/>
  <c r="A9" i="25"/>
  <c r="E26" i="21" s="1"/>
  <c r="E60" s="1"/>
  <c r="I5" i="24"/>
  <c r="H5"/>
  <c r="L19" i="21"/>
  <c r="L18"/>
  <c r="L17"/>
  <c r="L16"/>
  <c r="L15"/>
  <c r="L14"/>
  <c r="L13"/>
  <c r="L12"/>
  <c r="L11"/>
  <c r="L10"/>
  <c r="L9"/>
  <c r="L8"/>
  <c r="L6"/>
  <c r="L5"/>
  <c r="L4"/>
  <c r="L3"/>
  <c r="L2"/>
  <c r="F36" i="15"/>
  <c r="G36"/>
  <c r="H36"/>
  <c r="I36"/>
  <c r="J31"/>
  <c r="I31"/>
  <c r="H31"/>
  <c r="G31"/>
  <c r="F31"/>
  <c r="E31"/>
  <c r="C230" i="25" l="1"/>
  <c r="L44" i="21"/>
  <c r="M44" s="1"/>
  <c r="L39"/>
  <c r="K7"/>
  <c r="K8"/>
  <c r="K9"/>
  <c r="K10"/>
  <c r="K11"/>
  <c r="K12"/>
  <c r="K13"/>
  <c r="K14"/>
  <c r="F50"/>
  <c r="E231" i="25"/>
  <c r="D16" i="27"/>
  <c r="K28" i="21"/>
  <c r="K29"/>
  <c r="K30"/>
  <c r="K31"/>
  <c r="K32"/>
  <c r="K15"/>
  <c r="K43"/>
  <c r="K47"/>
  <c r="L46"/>
  <c r="M46" s="1"/>
  <c r="F16" i="27"/>
  <c r="M39" i="21"/>
  <c r="K45"/>
  <c r="K42"/>
  <c r="K41"/>
  <c r="K27"/>
  <c r="E15" i="27"/>
  <c r="F15"/>
  <c r="E16"/>
  <c r="K38" i="21"/>
  <c r="K40"/>
  <c r="K33"/>
  <c r="K34"/>
  <c r="K35"/>
  <c r="K36"/>
  <c r="K37"/>
  <c r="K2"/>
  <c r="G15" i="27"/>
  <c r="K3" i="21"/>
  <c r="K4"/>
  <c r="K5"/>
  <c r="K6"/>
  <c r="K16"/>
  <c r="K17"/>
  <c r="K18"/>
  <c r="K19"/>
  <c r="G16" i="27"/>
  <c r="K44" i="21"/>
  <c r="K46"/>
  <c r="K48"/>
  <c r="K39"/>
  <c r="K26"/>
  <c r="B16" i="27"/>
  <c r="J16" s="1"/>
  <c r="L38" i="21"/>
  <c r="M38" s="1"/>
  <c r="L40"/>
  <c r="M40" s="1"/>
  <c r="L48"/>
  <c r="M48" s="1"/>
  <c r="L28"/>
  <c r="M28" s="1"/>
  <c r="L29"/>
  <c r="M29" s="1"/>
  <c r="L30"/>
  <c r="M30" s="1"/>
  <c r="L31"/>
  <c r="M31" s="1"/>
  <c r="D15" i="27"/>
  <c r="L43" i="21"/>
  <c r="M43" s="1"/>
  <c r="L47"/>
  <c r="M47" s="1"/>
  <c r="L45"/>
  <c r="M45" s="1"/>
  <c r="L42"/>
  <c r="M42" s="1"/>
  <c r="L41"/>
  <c r="M41" s="1"/>
  <c r="L27"/>
  <c r="M27" s="1"/>
  <c r="L32"/>
  <c r="M32" s="1"/>
  <c r="L33"/>
  <c r="M33" s="1"/>
  <c r="L34"/>
  <c r="M34" s="1"/>
  <c r="L35"/>
  <c r="M35" s="1"/>
  <c r="L36"/>
  <c r="M36" s="1"/>
  <c r="L37"/>
  <c r="M37" s="1"/>
  <c r="L26"/>
  <c r="J25"/>
  <c r="G4" i="27" s="1"/>
  <c r="I25" i="21"/>
  <c r="F4" i="27" s="1"/>
  <c r="H25" i="21"/>
  <c r="E4" i="27" s="1"/>
  <c r="G25" i="21"/>
  <c r="D4" i="27" s="1"/>
  <c r="J50" i="21"/>
  <c r="G5" i="27" s="1"/>
  <c r="G7" s="1"/>
  <c r="I50" i="21"/>
  <c r="F5" i="27" s="1"/>
  <c r="F7" s="1"/>
  <c r="H50" i="21"/>
  <c r="E5" i="27" s="1"/>
  <c r="E7" s="1"/>
  <c r="G50" i="21"/>
  <c r="D5" i="27" s="1"/>
  <c r="E50" i="21"/>
  <c r="B5" i="27" s="1"/>
  <c r="L25" i="21"/>
  <c r="K4" i="27" s="1"/>
  <c r="D18" l="1"/>
  <c r="F18"/>
  <c r="G18"/>
  <c r="E18"/>
  <c r="J3" i="24"/>
  <c r="C5" i="27"/>
  <c r="J5" s="1"/>
  <c r="K3" i="24"/>
  <c r="D7" i="27"/>
  <c r="K60" i="21"/>
  <c r="H16" i="27" s="1"/>
  <c r="I16" s="1"/>
  <c r="K25" i="21"/>
  <c r="H4" i="27" s="1"/>
  <c r="K58" i="21"/>
  <c r="H15" i="27" s="1"/>
  <c r="H18" s="1"/>
  <c r="K50" i="21"/>
  <c r="H5" i="27" s="1"/>
  <c r="L58" i="21"/>
  <c r="K15" i="27" s="1"/>
  <c r="J55" i="21"/>
  <c r="M26"/>
  <c r="L60"/>
  <c r="K16" i="27" s="1"/>
  <c r="L16" s="1"/>
  <c r="L50" i="21"/>
  <c r="L55" s="1"/>
  <c r="H55"/>
  <c r="I55"/>
  <c r="G55"/>
  <c r="I27" i="15"/>
  <c r="H27"/>
  <c r="G27"/>
  <c r="F27"/>
  <c r="J19"/>
  <c r="J18"/>
  <c r="J17"/>
  <c r="J16"/>
  <c r="J15"/>
  <c r="J14"/>
  <c r="J13"/>
  <c r="J12"/>
  <c r="J11"/>
  <c r="J10"/>
  <c r="J9"/>
  <c r="J8"/>
  <c r="J7"/>
  <c r="J6"/>
  <c r="J5"/>
  <c r="J4"/>
  <c r="J3"/>
  <c r="J2"/>
  <c r="A12" i="19"/>
  <c r="E2" i="21" s="1"/>
  <c r="D345" i="19"/>
  <c r="A343"/>
  <c r="A320"/>
  <c r="E19" i="21" s="1"/>
  <c r="A300" i="19"/>
  <c r="E18" i="21" s="1"/>
  <c r="A288" i="19"/>
  <c r="E17" i="21" s="1"/>
  <c r="A284" i="19"/>
  <c r="E16" i="21" s="1"/>
  <c r="A274" i="19"/>
  <c r="E15" i="21" s="1"/>
  <c r="A264" i="19"/>
  <c r="E14" i="21" s="1"/>
  <c r="A260" i="19"/>
  <c r="E13" i="21" s="1"/>
  <c r="A231" i="19"/>
  <c r="A201"/>
  <c r="E12" i="21" s="1"/>
  <c r="A179" i="19"/>
  <c r="E11" i="21" s="1"/>
  <c r="A168" i="19"/>
  <c r="E10" i="21" s="1"/>
  <c r="A146" i="19"/>
  <c r="E9" i="21" s="1"/>
  <c r="A142" i="19"/>
  <c r="E8" i="21" s="1"/>
  <c r="A111" i="19"/>
  <c r="E6" i="21" s="1"/>
  <c r="A105" i="19"/>
  <c r="E5" i="21" s="1"/>
  <c r="A87" i="19"/>
  <c r="A52"/>
  <c r="E4" i="21" s="1"/>
  <c r="A21" i="19"/>
  <c r="K5" i="27" l="1"/>
  <c r="K7" s="1"/>
  <c r="K18"/>
  <c r="L5"/>
  <c r="H7"/>
  <c r="I5"/>
  <c r="E3" i="21"/>
  <c r="E58" s="1"/>
  <c r="B15" i="27" s="1"/>
  <c r="B18" s="1"/>
  <c r="K55" i="21"/>
  <c r="E4" i="15"/>
  <c r="K4" s="1"/>
  <c r="M4" i="21"/>
  <c r="E7" i="15"/>
  <c r="K7" s="1"/>
  <c r="E11"/>
  <c r="M11" i="21"/>
  <c r="E14" i="15"/>
  <c r="M14" i="21"/>
  <c r="E3" i="15"/>
  <c r="M3" i="21"/>
  <c r="E6" i="15"/>
  <c r="M6" i="21"/>
  <c r="E8" i="15"/>
  <c r="M8" i="21"/>
  <c r="E10" i="15"/>
  <c r="M10" i="21"/>
  <c r="E12" i="15"/>
  <c r="M12" i="21"/>
  <c r="E13" i="15"/>
  <c r="M13" i="21"/>
  <c r="E15" i="15"/>
  <c r="M15" i="21"/>
  <c r="E17" i="15"/>
  <c r="M17" i="21"/>
  <c r="E19" i="15"/>
  <c r="M19" i="21"/>
  <c r="E2" i="15"/>
  <c r="E5"/>
  <c r="K5" s="1"/>
  <c r="M5" i="21"/>
  <c r="E9" i="15"/>
  <c r="K9" s="1"/>
  <c r="M9" i="21"/>
  <c r="E16" i="15"/>
  <c r="K16" s="1"/>
  <c r="M16" i="21"/>
  <c r="E18" i="15"/>
  <c r="K18" s="1"/>
  <c r="M18" i="21"/>
  <c r="J27" i="15"/>
  <c r="J36" s="1"/>
  <c r="G2" i="24" s="1"/>
  <c r="G5" s="1"/>
  <c r="K6" s="1"/>
  <c r="K3" i="15"/>
  <c r="K11"/>
  <c r="K13"/>
  <c r="K15"/>
  <c r="K17"/>
  <c r="K19"/>
  <c r="K2"/>
  <c r="K6"/>
  <c r="K8"/>
  <c r="K10"/>
  <c r="K12"/>
  <c r="K14"/>
  <c r="D344" i="19"/>
  <c r="K6" i="16"/>
  <c r="J6"/>
  <c r="K5"/>
  <c r="J5"/>
  <c r="K16"/>
  <c r="J16"/>
  <c r="K15"/>
  <c r="I5" i="17"/>
  <c r="H5"/>
  <c r="I18" i="16"/>
  <c r="G18"/>
  <c r="F18"/>
  <c r="E18"/>
  <c r="D18"/>
  <c r="C18"/>
  <c r="B18"/>
  <c r="G7"/>
  <c r="F7"/>
  <c r="E7"/>
  <c r="D7"/>
  <c r="C7"/>
  <c r="B7"/>
  <c r="E27" i="15" l="1"/>
  <c r="K27"/>
  <c r="E25" i="21"/>
  <c r="B4" i="27" s="1"/>
  <c r="B7" s="1"/>
  <c r="M2" i="21"/>
  <c r="I4" i="16"/>
  <c r="H4"/>
  <c r="E36" i="15"/>
  <c r="G2" i="17"/>
  <c r="G5" s="1"/>
  <c r="I6" s="1"/>
  <c r="D346" i="19"/>
  <c r="K18" i="16"/>
  <c r="F2" i="24" l="1"/>
  <c r="F5" s="1"/>
  <c r="E55" i="21"/>
  <c r="F2" i="17"/>
  <c r="F5" s="1"/>
  <c r="H15" i="16"/>
  <c r="J15" s="1"/>
  <c r="J18" s="1"/>
  <c r="J4"/>
  <c r="J7" s="1"/>
  <c r="H7"/>
  <c r="K4"/>
  <c r="K7" s="1"/>
  <c r="I7"/>
  <c r="H18" l="1"/>
  <c r="F59" i="21"/>
  <c r="D347" i="19"/>
  <c r="D348" s="1"/>
  <c r="F3" i="21"/>
  <c r="F25" s="1"/>
  <c r="F58" l="1"/>
  <c r="C15" i="27" s="1"/>
  <c r="J15" s="1"/>
  <c r="C18"/>
  <c r="C4"/>
  <c r="K2" i="24"/>
  <c r="K5" s="1"/>
  <c r="J2"/>
  <c r="J5" s="1"/>
  <c r="F55" i="21"/>
  <c r="J4" i="27" l="1"/>
  <c r="C7"/>
  <c r="I15"/>
  <c r="L15"/>
  <c r="J18"/>
  <c r="I18" l="1"/>
  <c r="L18"/>
  <c r="I4"/>
  <c r="L4"/>
  <c r="J7"/>
  <c r="I7" l="1"/>
  <c r="L7"/>
</calcChain>
</file>

<file path=xl/sharedStrings.xml><?xml version="1.0" encoding="utf-8"?>
<sst xmlns="http://schemas.openxmlformats.org/spreadsheetml/2006/main" count="1957" uniqueCount="721">
  <si>
    <t>Product</t>
  </si>
  <si>
    <t>Version</t>
  </si>
  <si>
    <t>Type</t>
  </si>
  <si>
    <t>QTP</t>
  </si>
  <si>
    <t>Platform(s)</t>
  </si>
  <si>
    <t>New TS 
this FY</t>
  </si>
  <si>
    <t>New TC
this FY</t>
  </si>
  <si>
    <t>Created by</t>
  </si>
  <si>
    <t>QA</t>
  </si>
  <si>
    <t>Automation Type</t>
  </si>
  <si>
    <t>Owner</t>
  </si>
  <si>
    <t>Area Covered</t>
  </si>
  <si>
    <t>Totals</t>
  </si>
  <si>
    <r>
      <t>Notes:</t>
    </r>
    <r>
      <rPr>
        <sz val="10"/>
        <rFont val="Arial"/>
        <family val="2"/>
      </rPr>
      <t xml:space="preserve"> </t>
    </r>
  </si>
  <si>
    <t>Increase</t>
  </si>
  <si>
    <t>Q1</t>
  </si>
  <si>
    <t>Q2</t>
  </si>
  <si>
    <t>Q3</t>
  </si>
  <si>
    <t>Q4</t>
  </si>
  <si>
    <t>TS</t>
  </si>
  <si>
    <t>Quarter Totals</t>
  </si>
  <si>
    <t>Developer</t>
  </si>
  <si>
    <t># of TC
as of 12/31/09</t>
  </si>
  <si>
    <t># of TS
as of 12/31/09</t>
  </si>
  <si>
    <t>Pro/JCL</t>
  </si>
  <si>
    <t>Z/OS</t>
  </si>
  <si>
    <t>MAP</t>
  </si>
  <si>
    <t>INFOX</t>
  </si>
  <si>
    <t>Scott</t>
  </si>
  <si>
    <t>MAP - Pro/JCL</t>
  </si>
  <si>
    <t>MAP - Infox</t>
  </si>
  <si>
    <t>Lisa</t>
  </si>
  <si>
    <t xml:space="preserve"> </t>
  </si>
  <si>
    <t>Claudie</t>
  </si>
  <si>
    <t>W32; W64</t>
  </si>
  <si>
    <t>Pro/JCL - ISPF</t>
  </si>
  <si>
    <t>Test Cases</t>
  </si>
  <si>
    <t>Admin</t>
  </si>
  <si>
    <t>Help</t>
  </si>
  <si>
    <t>JJ</t>
  </si>
  <si>
    <t>JJDirect</t>
  </si>
  <si>
    <t>JJScan</t>
  </si>
  <si>
    <t>JMP</t>
  </si>
  <si>
    <t>Product Usage</t>
  </si>
  <si>
    <t>Reformat</t>
  </si>
  <si>
    <t>Remote Validation</t>
  </si>
  <si>
    <t>RTS</t>
  </si>
  <si>
    <t>Scheduler</t>
  </si>
  <si>
    <t>Selection Exit</t>
  </si>
  <si>
    <t>Selection List</t>
  </si>
  <si>
    <t xml:space="preserve">Shared </t>
  </si>
  <si>
    <t>STC</t>
  </si>
  <si>
    <t>System</t>
  </si>
  <si>
    <t xml:space="preserve">Validation </t>
  </si>
  <si>
    <t>Customize</t>
  </si>
  <si>
    <t>JCL Editor</t>
  </si>
  <si>
    <t>Local Scan</t>
  </si>
  <si>
    <t>Mainframe Scan</t>
  </si>
  <si>
    <t>Quick Scan</t>
  </si>
  <si>
    <t>Converted</t>
  </si>
  <si>
    <t>Script</t>
  </si>
  <si>
    <t>Code</t>
  </si>
  <si>
    <t>Total for Suite</t>
  </si>
  <si>
    <t>WinRunner Scripts</t>
  </si>
  <si>
    <t>to MAP</t>
  </si>
  <si>
    <t>P/F/I</t>
  </si>
  <si>
    <t>Date</t>
  </si>
  <si>
    <t>Analyst</t>
  </si>
  <si>
    <t>Notes</t>
  </si>
  <si>
    <t>Review</t>
  </si>
  <si>
    <t>ADMIN1:</t>
  </si>
  <si>
    <t>PD1B006</t>
  </si>
  <si>
    <t>X</t>
  </si>
  <si>
    <t>LisaC</t>
  </si>
  <si>
    <t>PH35055</t>
  </si>
  <si>
    <t>I</t>
  </si>
  <si>
    <t xml:space="preserve">need function to handle parameter tables </t>
  </si>
  <si>
    <t>PH43055</t>
  </si>
  <si>
    <t>cjm</t>
  </si>
  <si>
    <t>need function to check cursor position</t>
  </si>
  <si>
    <t>PH15034</t>
  </si>
  <si>
    <t>waiting for 'presskey' function &amp; function to handle popup panel w/ no scroll field</t>
  </si>
  <si>
    <t>PH49014</t>
  </si>
  <si>
    <t>PH48002</t>
  </si>
  <si>
    <t>PH16071</t>
  </si>
  <si>
    <t>HELP1:</t>
  </si>
  <si>
    <t>HELP_ADMINISTRATION</t>
  </si>
  <si>
    <t xml:space="preserve"> D0JHDIA3.txt has 2 panel ID  (the first panel and the superimposed popup panelid)</t>
  </si>
  <si>
    <t>HELP_JMP_SETTINGS</t>
  </si>
  <si>
    <t>HELP_MAINMENU</t>
  </si>
  <si>
    <t>HELP_REFORMATTER</t>
  </si>
  <si>
    <t>HELP_REFORMATTER_STATEMENTS</t>
  </si>
  <si>
    <t>HELP_RTS_SETTINGS</t>
  </si>
  <si>
    <t>HELP2:</t>
  </si>
  <si>
    <t>P12738</t>
  </si>
  <si>
    <t>P13219</t>
  </si>
  <si>
    <t>PC11012</t>
  </si>
  <si>
    <t>capture Reformat DD help panel  D0SHREF3 has extra blank pages at the bottom.</t>
  </si>
  <si>
    <t>PH22125</t>
  </si>
  <si>
    <t>PH25112</t>
  </si>
  <si>
    <t>PH2C051</t>
  </si>
  <si>
    <t>PH43053</t>
  </si>
  <si>
    <t>Test for copyright failed opening Impact ticket: 683536</t>
  </si>
  <si>
    <t>P685586</t>
  </si>
  <si>
    <t>New testcase PR290</t>
  </si>
  <si>
    <t>JJ1</t>
  </si>
  <si>
    <t>P10927</t>
  </si>
  <si>
    <t>P11135</t>
  </si>
  <si>
    <t>P11573</t>
  </si>
  <si>
    <t>P12455</t>
  </si>
  <si>
    <t>P12479</t>
  </si>
  <si>
    <t>P12783</t>
  </si>
  <si>
    <t>P13394</t>
  </si>
  <si>
    <t>PC24008</t>
  </si>
  <si>
    <t>PH11081</t>
  </si>
  <si>
    <t>PH11083</t>
  </si>
  <si>
    <t>PH12020</t>
  </si>
  <si>
    <t>PH22137</t>
  </si>
  <si>
    <t>PH28151</t>
  </si>
  <si>
    <t>need to check direct execution jmp messages/added p106089</t>
  </si>
  <si>
    <t>PH29030</t>
  </si>
  <si>
    <t>PH29034</t>
  </si>
  <si>
    <t>PH2A021</t>
  </si>
  <si>
    <t>PC1A018</t>
  </si>
  <si>
    <t>PR13295</t>
  </si>
  <si>
    <t>JJ2</t>
  </si>
  <si>
    <t>P665386</t>
  </si>
  <si>
    <t>new script added on PR290</t>
  </si>
  <si>
    <t>PC38013</t>
  </si>
  <si>
    <t>PC5B001</t>
  </si>
  <si>
    <t>Checking for a B37 (may take too long to run).</t>
  </si>
  <si>
    <t>PH21085</t>
  </si>
  <si>
    <t>skb</t>
  </si>
  <si>
    <t>PH35063</t>
  </si>
  <si>
    <t>PR10126</t>
  </si>
  <si>
    <t>PR12783</t>
  </si>
  <si>
    <t>PR12988</t>
  </si>
  <si>
    <t>PR13084</t>
  </si>
  <si>
    <t>PR13123</t>
  </si>
  <si>
    <t>use verifyPopup. COMPLETED/ Needs review</t>
  </si>
  <si>
    <t>PR13225</t>
  </si>
  <si>
    <t>PR13272</t>
  </si>
  <si>
    <t>PR13398</t>
  </si>
  <si>
    <t>PC1C002</t>
  </si>
  <si>
    <t>PU16004</t>
  </si>
  <si>
    <t>PU1C007</t>
  </si>
  <si>
    <t>PC38001</t>
  </si>
  <si>
    <t>2/24.2009</t>
  </si>
  <si>
    <t>This script needs to run TZ17A because of Migrated dataset.</t>
  </si>
  <si>
    <t>PH3C024</t>
  </si>
  <si>
    <t>PC3B013</t>
  </si>
  <si>
    <t>PH39099</t>
  </si>
  <si>
    <t>PH43180</t>
  </si>
  <si>
    <t>PH42017</t>
  </si>
  <si>
    <t>PH43112</t>
  </si>
  <si>
    <t>PH43054</t>
  </si>
  <si>
    <t>PH3A067</t>
  </si>
  <si>
    <t>PH42016</t>
  </si>
  <si>
    <t>PH3A015</t>
  </si>
  <si>
    <t>PH3A059</t>
  </si>
  <si>
    <t>PH3A062</t>
  </si>
  <si>
    <t>PH3A065</t>
  </si>
  <si>
    <t>PH3A114</t>
  </si>
  <si>
    <t>PH49013</t>
  </si>
  <si>
    <t>JJDIRECT1</t>
  </si>
  <si>
    <t>PH28086</t>
  </si>
  <si>
    <t>PH29103</t>
  </si>
  <si>
    <t>PH34042</t>
  </si>
  <si>
    <t>PD29007</t>
  </si>
  <si>
    <t>PH2A147</t>
  </si>
  <si>
    <t>PH2A157</t>
  </si>
  <si>
    <t>PH3A115</t>
  </si>
  <si>
    <t>PD28006</t>
  </si>
  <si>
    <t>when capturing report bottom of data does not show up .</t>
  </si>
  <si>
    <t>PH44080</t>
  </si>
  <si>
    <t>PH4C001</t>
  </si>
  <si>
    <t>PU4B014</t>
  </si>
  <si>
    <t>PU42008</t>
  </si>
  <si>
    <t>PH43016</t>
  </si>
  <si>
    <t>PH48003</t>
  </si>
  <si>
    <t>PH48030</t>
  </si>
  <si>
    <t>JJSCAN1:</t>
  </si>
  <si>
    <t>PC26009</t>
  </si>
  <si>
    <t>Need to capture SJL DNS</t>
  </si>
  <si>
    <t>PH11087</t>
  </si>
  <si>
    <t>PR13125</t>
  </si>
  <si>
    <t>3/2/20009</t>
  </si>
  <si>
    <t>JMP1:</t>
  </si>
  <si>
    <t>PH12043</t>
  </si>
  <si>
    <t>PH24088</t>
  </si>
  <si>
    <t>cm</t>
  </si>
  <si>
    <t>PH26061</t>
  </si>
  <si>
    <t>PH27044</t>
  </si>
  <si>
    <t>PR12540</t>
  </si>
  <si>
    <t>PH35015</t>
  </si>
  <si>
    <t>PH39104</t>
  </si>
  <si>
    <t>SR11048</t>
  </si>
  <si>
    <t>PH21117</t>
  </si>
  <si>
    <t>6/15.2009</t>
  </si>
  <si>
    <t>Need Model panel to be installed</t>
  </si>
  <si>
    <t>PH27059</t>
  </si>
  <si>
    <t>PU14008</t>
  </si>
  <si>
    <t>PC35004</t>
  </si>
  <si>
    <t>need to delete ID.SJL.TEMP*</t>
  </si>
  <si>
    <t>PU4B007</t>
  </si>
  <si>
    <t>PH37022</t>
  </si>
  <si>
    <t>PH42110</t>
  </si>
  <si>
    <t>PH51010</t>
  </si>
  <si>
    <t>P662041</t>
  </si>
  <si>
    <t>PR290 new script</t>
  </si>
  <si>
    <t>PH15024</t>
  </si>
  <si>
    <t>MISC1:</t>
  </si>
  <si>
    <t>PR12492</t>
  </si>
  <si>
    <t>PU29009</t>
  </si>
  <si>
    <t>PH41001</t>
  </si>
  <si>
    <t>PH35040</t>
  </si>
  <si>
    <t>fixed by skb</t>
  </si>
  <si>
    <t>PC2A010</t>
  </si>
  <si>
    <t>fixed by skb Multiple field with the same name on form</t>
  </si>
  <si>
    <t>PH41037</t>
  </si>
  <si>
    <t>Need to have libraries allocated for one release and calling a different release</t>
  </si>
  <si>
    <t>PH13056</t>
  </si>
  <si>
    <t>PU4A010</t>
  </si>
  <si>
    <t>PH31025</t>
  </si>
  <si>
    <t>P687454</t>
  </si>
  <si>
    <t>PRODUCT USAGE:</t>
  </si>
  <si>
    <t>PH45030</t>
  </si>
  <si>
    <t>REFORMAT1:</t>
  </si>
  <si>
    <t>PH25013</t>
  </si>
  <si>
    <t>P11706</t>
  </si>
  <si>
    <t>PC25013</t>
  </si>
  <si>
    <t>6/23/20009</t>
  </si>
  <si>
    <t>PH12015</t>
  </si>
  <si>
    <t>PH13023</t>
  </si>
  <si>
    <t>PR10495</t>
  </si>
  <si>
    <t>PR10516</t>
  </si>
  <si>
    <t>PC25015</t>
  </si>
  <si>
    <t>PT0262</t>
  </si>
  <si>
    <t>need to check why enable reformat does not stay to N for If statement</t>
  </si>
  <si>
    <t>PH43124</t>
  </si>
  <si>
    <t>PH3A082</t>
  </si>
  <si>
    <t>ISPF statistics</t>
  </si>
  <si>
    <t>PH33064</t>
  </si>
  <si>
    <t xml:space="preserve">Loop to work on reformat </t>
  </si>
  <si>
    <t>P10715</t>
  </si>
  <si>
    <t>P100109</t>
  </si>
  <si>
    <t>PH12083</t>
  </si>
  <si>
    <t>PH41079</t>
  </si>
  <si>
    <t>PH4C029</t>
  </si>
  <si>
    <t>PH56048</t>
  </si>
  <si>
    <t>PH57007</t>
  </si>
  <si>
    <t>P103451</t>
  </si>
  <si>
    <t>new script for 290</t>
  </si>
  <si>
    <t>REMOTE_VALIDATION1:</t>
  </si>
  <si>
    <t>P571146</t>
  </si>
  <si>
    <t>PH43167</t>
  </si>
  <si>
    <t>Need to remove the "forced enter" on panelListAction function to capture a Help Screen for Direct execution Select help panel..</t>
  </si>
  <si>
    <t>PH43023</t>
  </si>
  <si>
    <t>PH43018</t>
  </si>
  <si>
    <t>PH43091</t>
  </si>
  <si>
    <t>PH43097</t>
  </si>
  <si>
    <t>PH43027</t>
  </si>
  <si>
    <t>PR98118</t>
  </si>
  <si>
    <t>RTS1:</t>
  </si>
  <si>
    <t>P106892</t>
  </si>
  <si>
    <t>P100103</t>
  </si>
  <si>
    <t>P10883</t>
  </si>
  <si>
    <t>Problem capture help popup / Fixed</t>
  </si>
  <si>
    <t>P12534</t>
  </si>
  <si>
    <t xml:space="preserve">  </t>
  </si>
  <si>
    <t>P12671</t>
  </si>
  <si>
    <t>P12834</t>
  </si>
  <si>
    <t>PC12001</t>
  </si>
  <si>
    <t>PC21002</t>
  </si>
  <si>
    <t>RMM</t>
  </si>
  <si>
    <t>PC22012</t>
  </si>
  <si>
    <t>PC27005</t>
  </si>
  <si>
    <t>PH12036</t>
  </si>
  <si>
    <t>PH12038</t>
  </si>
  <si>
    <t>PH16232</t>
  </si>
  <si>
    <t>PH18111</t>
  </si>
  <si>
    <t>PH22121</t>
  </si>
  <si>
    <t>PH24015</t>
  </si>
  <si>
    <t>PH25062</t>
  </si>
  <si>
    <t>PH25072</t>
  </si>
  <si>
    <t>PR10478</t>
  </si>
  <si>
    <t>SH36067</t>
  </si>
  <si>
    <t>RTS2:</t>
  </si>
  <si>
    <t>P11316</t>
  </si>
  <si>
    <t>P13292</t>
  </si>
  <si>
    <t>PC15006</t>
  </si>
  <si>
    <t>PC26004</t>
  </si>
  <si>
    <t>PC2C003</t>
  </si>
  <si>
    <t>PC38009</t>
  </si>
  <si>
    <t>PC48006</t>
  </si>
  <si>
    <t>PC48008</t>
  </si>
  <si>
    <t>PC53004</t>
  </si>
  <si>
    <t>PH12124</t>
  </si>
  <si>
    <t>PH24013</t>
  </si>
  <si>
    <t>PH25019</t>
  </si>
  <si>
    <t>PH2A130</t>
  </si>
  <si>
    <t>PH32016</t>
  </si>
  <si>
    <t>PH42014</t>
  </si>
  <si>
    <t>Problems capturing help panels from popup list panel  Fixed</t>
  </si>
  <si>
    <t>PH42059</t>
  </si>
  <si>
    <t>blank popup panel for JCL Printing</t>
  </si>
  <si>
    <t>PH49001</t>
  </si>
  <si>
    <t>Looking for rts win280 and not found</t>
  </si>
  <si>
    <t>PR11136</t>
  </si>
  <si>
    <t>PR11382</t>
  </si>
  <si>
    <t>unable to find string on child popup</t>
  </si>
  <si>
    <t>PR11489</t>
  </si>
  <si>
    <t>LisaC/skb</t>
  </si>
  <si>
    <t>PR11624</t>
  </si>
  <si>
    <t>capture entire output byrun byjob…..</t>
  </si>
  <si>
    <t>PR11948</t>
  </si>
  <si>
    <t>PR13170</t>
  </si>
  <si>
    <t>PT0970</t>
  </si>
  <si>
    <t>PU3A002</t>
  </si>
  <si>
    <t>another strange popup within popup capture on Library type Add option</t>
  </si>
  <si>
    <t>S10077</t>
  </si>
  <si>
    <t>SCHEDULER1:</t>
  </si>
  <si>
    <t>P653071</t>
  </si>
  <si>
    <t>New Script for 290</t>
  </si>
  <si>
    <t>P13378</t>
  </si>
  <si>
    <t>PC28002</t>
  </si>
  <si>
    <t>PH12007</t>
  </si>
  <si>
    <t>Verify popup: duplicate  last line of Scheduler Popup</t>
  </si>
  <si>
    <t>PH14059</t>
  </si>
  <si>
    <t>PH15025</t>
  </si>
  <si>
    <t>need to check if TWS8 is up or down</t>
  </si>
  <si>
    <t>PH21078</t>
  </si>
  <si>
    <t>PH2A019</t>
  </si>
  <si>
    <t>PH33045</t>
  </si>
  <si>
    <t>PH27003</t>
  </si>
  <si>
    <t>PH32040</t>
  </si>
  <si>
    <t>PH23054</t>
  </si>
  <si>
    <t>PH43035</t>
  </si>
  <si>
    <t>PH3C059</t>
  </si>
  <si>
    <t>PH34010</t>
  </si>
  <si>
    <t>PC4A009</t>
  </si>
  <si>
    <t>P13192</t>
  </si>
  <si>
    <t>PH15031</t>
  </si>
  <si>
    <t>PH58032</t>
  </si>
  <si>
    <t>PH59003</t>
  </si>
  <si>
    <t>PH64037</t>
  </si>
  <si>
    <t>PU56005</t>
  </si>
  <si>
    <t>P11005</t>
  </si>
  <si>
    <t>PH12118</t>
  </si>
  <si>
    <t>PC34009</t>
  </si>
  <si>
    <t>SELECTIONEXIT1:</t>
  </si>
  <si>
    <t>PC31010</t>
  </si>
  <si>
    <t>SELECTIONLIST1:</t>
  </si>
  <si>
    <t>PH13031</t>
  </si>
  <si>
    <t>PH26055</t>
  </si>
  <si>
    <t>PH2A145</t>
  </si>
  <si>
    <t>PH2B103</t>
  </si>
  <si>
    <t>PH27018</t>
  </si>
  <si>
    <t>PH33092</t>
  </si>
  <si>
    <t>PH39096</t>
  </si>
  <si>
    <t>SHARED1</t>
  </si>
  <si>
    <t>SH2B075</t>
  </si>
  <si>
    <t>SH1B067</t>
  </si>
  <si>
    <t>SR10763</t>
  </si>
  <si>
    <t>SH42022</t>
  </si>
  <si>
    <t>SH3A096</t>
  </si>
  <si>
    <t>popup panel is icomplete when only 1 panel and no scroll</t>
  </si>
  <si>
    <t>SH22158</t>
  </si>
  <si>
    <t>SH32085</t>
  </si>
  <si>
    <t>STC1:</t>
  </si>
  <si>
    <t>PH25064</t>
  </si>
  <si>
    <t>SYSTEM1:</t>
  </si>
  <si>
    <t>P11786</t>
  </si>
  <si>
    <t>P12340</t>
  </si>
  <si>
    <t>P13357</t>
  </si>
  <si>
    <t>PH2A146</t>
  </si>
  <si>
    <t>PH32071</t>
  </si>
  <si>
    <t>PH39003</t>
  </si>
  <si>
    <t>PH43024</t>
  </si>
  <si>
    <t>Need a Master and Slave up for this script</t>
  </si>
  <si>
    <t>PH21176</t>
  </si>
  <si>
    <t>Product usage</t>
  </si>
  <si>
    <t>VALIDATION1:</t>
  </si>
  <si>
    <t>P13028</t>
  </si>
  <si>
    <t>PH11044</t>
  </si>
  <si>
    <t>PH12062</t>
  </si>
  <si>
    <t>Loop on mem list</t>
  </si>
  <si>
    <t>PH12091</t>
  </si>
  <si>
    <t>PH21106</t>
  </si>
  <si>
    <t>PH28049</t>
  </si>
  <si>
    <t>PH2A113</t>
  </si>
  <si>
    <t>PH2A126</t>
  </si>
  <si>
    <t>not able to capture the entire help panel. Line 73 in script</t>
  </si>
  <si>
    <t>PH2A155</t>
  </si>
  <si>
    <t>PH2B029</t>
  </si>
  <si>
    <t>Added the ln $status to script. Update before working on it to get updates from repo</t>
  </si>
  <si>
    <t>PH31032</t>
  </si>
  <si>
    <t>PH36040</t>
  </si>
  <si>
    <t>PR100036</t>
  </si>
  <si>
    <t>Would need toe rerun (capture Option Report / Missing popup title)</t>
  </si>
  <si>
    <t>PR10551</t>
  </si>
  <si>
    <t xml:space="preserve">You must have rts member pjgl0020 for this test to run. </t>
  </si>
  <si>
    <t>PH47009</t>
  </si>
  <si>
    <t>PH43104</t>
  </si>
  <si>
    <t>TESTING PCFILE RESTORE AFTER ADDING A MACHINE DEFINITION</t>
  </si>
  <si>
    <t>PH44019</t>
  </si>
  <si>
    <t>VALIDATION2:</t>
  </si>
  <si>
    <t>PR11725</t>
  </si>
  <si>
    <t>PR12777</t>
  </si>
  <si>
    <t>PR13147</t>
  </si>
  <si>
    <t>PT1279</t>
  </si>
  <si>
    <t>PC2C004</t>
  </si>
  <si>
    <t>PU1A002</t>
  </si>
  <si>
    <t>PH13009</t>
  </si>
  <si>
    <t>PH3A112</t>
  </si>
  <si>
    <t>PH33049</t>
  </si>
  <si>
    <t>PH59059</t>
  </si>
  <si>
    <t>PH24071</t>
  </si>
  <si>
    <t>Added pcfile reset</t>
  </si>
  <si>
    <t>PR10169</t>
  </si>
  <si>
    <t>Problem capturing screen messages/fixed by capturing SJL instead.</t>
  </si>
  <si>
    <r>
      <rPr>
        <sz val="10"/>
        <color rgb="FFFF0000"/>
        <rFont val="Arial"/>
        <family val="2"/>
      </rPr>
      <t>Fixed/Modified to MAP- messages during busy not supported in MAP</t>
    </r>
    <r>
      <rPr>
        <sz val="10"/>
        <color rgb="FF00B050"/>
        <rFont val="Arial"/>
        <family val="2"/>
      </rPr>
      <t>.</t>
    </r>
  </si>
  <si>
    <t>PH42031</t>
  </si>
  <si>
    <t>PH42007</t>
  </si>
  <si>
    <t>OPC</t>
  </si>
  <si>
    <t>PH24068</t>
  </si>
  <si>
    <t>PH43129</t>
  </si>
  <si>
    <t>P12144</t>
  </si>
  <si>
    <t>P11999</t>
  </si>
  <si>
    <t>PC31015</t>
  </si>
  <si>
    <t>PH31113</t>
  </si>
  <si>
    <t>PH38049</t>
  </si>
  <si>
    <t>Fixed/ Script still needs to be finished.</t>
  </si>
  <si>
    <t>F</t>
  </si>
  <si>
    <t>Total number of scripts to convert</t>
  </si>
  <si>
    <t># of scripts converted to date</t>
  </si>
  <si>
    <t>% complete</t>
  </si>
  <si>
    <t>Remaining Scripts</t>
  </si>
  <si>
    <t>MISC</t>
  </si>
  <si>
    <t>Total Scripts</t>
  </si>
  <si>
    <t>Scripts Q1</t>
  </si>
  <si>
    <t>Scripts Q2</t>
  </si>
  <si>
    <t>Scripts Q3</t>
  </si>
  <si>
    <t>Scripts Q4</t>
  </si>
  <si>
    <t>% complt</t>
  </si>
  <si>
    <t>Note:  the Coverage-Detail report will be updated with a date routine to pull stats on a quarterly basis.</t>
  </si>
  <si>
    <t>Map Infrastructure/new functions</t>
  </si>
  <si>
    <t>Summary</t>
  </si>
  <si>
    <t>Total Automation</t>
  </si>
  <si>
    <t>FY TCtal</t>
  </si>
  <si>
    <t>AuTCmation Type</t>
  </si>
  <si>
    <t>TC</t>
  </si>
  <si>
    <t>TCtals</t>
  </si>
  <si>
    <t>Developer TCtal</t>
  </si>
  <si>
    <t>Totals for each AuTCmation Developer</t>
  </si>
  <si>
    <t>Automation by Analyst</t>
  </si>
  <si>
    <t># of TC
as of 12/31/10</t>
  </si>
  <si>
    <t># of TS
as of 12/31/10</t>
  </si>
  <si>
    <t>Original 276 Pro/JCLTestCases were WinRunner; coverted to MAP scripts</t>
  </si>
  <si>
    <t>Suite</t>
  </si>
  <si>
    <t>Test Case Document</t>
  </si>
  <si>
    <t>Converted to MAP</t>
  </si>
  <si>
    <t xml:space="preserve">Estimated Time </t>
  </si>
  <si>
    <t xml:space="preserve">Actual Time                   </t>
  </si>
  <si>
    <t>Lisa Est. Time</t>
  </si>
  <si>
    <t>Claudie Est. Time</t>
  </si>
  <si>
    <t>Comments</t>
  </si>
  <si>
    <t xml:space="preserve">A_NISSAN_263 </t>
  </si>
  <si>
    <t>IC53007</t>
  </si>
  <si>
    <t>Y</t>
  </si>
  <si>
    <t xml:space="preserve"> 
IH54039</t>
  </si>
  <si>
    <t>scott</t>
  </si>
  <si>
    <t xml:space="preserve">IC55006
 </t>
  </si>
  <si>
    <t xml:space="preserve"> 
IC53008</t>
  </si>
  <si>
    <t>IC55010</t>
  </si>
  <si>
    <t>IH54029</t>
  </si>
  <si>
    <t>QUERY1</t>
  </si>
  <si>
    <t>IH4B026</t>
  </si>
  <si>
    <t>in progress</t>
  </si>
  <si>
    <t>I12602</t>
  </si>
  <si>
    <t>I12628</t>
  </si>
  <si>
    <t>I12757</t>
  </si>
  <si>
    <t>IH11020</t>
  </si>
  <si>
    <t>IH1A166</t>
  </si>
  <si>
    <t>IH55035</t>
  </si>
  <si>
    <t>IU3A008</t>
  </si>
  <si>
    <t>IM92355</t>
  </si>
  <si>
    <t>PIQRY001</t>
  </si>
  <si>
    <t>REPORTS</t>
  </si>
  <si>
    <t>IH54031</t>
  </si>
  <si>
    <t>IC11025</t>
  </si>
  <si>
    <t>IC18007</t>
  </si>
  <si>
    <t>IC1C005</t>
  </si>
  <si>
    <t>IC27001</t>
  </si>
  <si>
    <t>ID12008</t>
  </si>
  <si>
    <t>ID12010</t>
  </si>
  <si>
    <t>IH12106</t>
  </si>
  <si>
    <t>IH1C035</t>
  </si>
  <si>
    <t>IH1C071</t>
  </si>
  <si>
    <t>IH23036</t>
  </si>
  <si>
    <t>IH48031</t>
  </si>
  <si>
    <t>IH48061</t>
  </si>
  <si>
    <t>IH48075</t>
  </si>
  <si>
    <t>IH49074</t>
  </si>
  <si>
    <t>IH4B045</t>
  </si>
  <si>
    <t>IH52016</t>
  </si>
  <si>
    <t>IH54012</t>
  </si>
  <si>
    <t>IH55012</t>
  </si>
  <si>
    <t>IH55054</t>
  </si>
  <si>
    <t>IM92493</t>
  </si>
  <si>
    <t>IM92538</t>
  </si>
  <si>
    <t>SETUP1</t>
  </si>
  <si>
    <t>IH48072</t>
  </si>
  <si>
    <t>IC1B003</t>
  </si>
  <si>
    <t>IH12135</t>
  </si>
  <si>
    <t>IH13027</t>
  </si>
  <si>
    <t>IH16065</t>
  </si>
  <si>
    <t>IH1A097</t>
  </si>
  <si>
    <t>IH35079</t>
  </si>
  <si>
    <t>IH3B034</t>
  </si>
  <si>
    <t>IH46012</t>
  </si>
  <si>
    <t>IH48060</t>
  </si>
  <si>
    <t>IH49009</t>
  </si>
  <si>
    <t>IH4A031</t>
  </si>
  <si>
    <t>IH4A047</t>
  </si>
  <si>
    <t>IH4B007</t>
  </si>
  <si>
    <t>IH4C014</t>
  </si>
  <si>
    <t>IH52034</t>
  </si>
  <si>
    <t>IM92078</t>
  </si>
  <si>
    <t>IM108845</t>
  </si>
  <si>
    <t>P695135</t>
  </si>
  <si>
    <t>UPDATE1</t>
  </si>
  <si>
    <t>IH54062</t>
  </si>
  <si>
    <t>I11903</t>
  </si>
  <si>
    <t>IC1A023</t>
  </si>
  <si>
    <t>IH12176</t>
  </si>
  <si>
    <t>IH12235</t>
  </si>
  <si>
    <t>IH16064</t>
  </si>
  <si>
    <t>IH16151</t>
  </si>
  <si>
    <t>IH21101</t>
  </si>
  <si>
    <t>IH25016</t>
  </si>
  <si>
    <t>IH25036</t>
  </si>
  <si>
    <t>IH3A127</t>
  </si>
  <si>
    <t>IH3C036</t>
  </si>
  <si>
    <t>XREF_CICSGROUP1</t>
  </si>
  <si>
    <t>IH36024</t>
  </si>
  <si>
    <t>IH46042</t>
  </si>
  <si>
    <t>XREF_CICSTRANSACTION1</t>
  </si>
  <si>
    <t>IH1A028</t>
  </si>
  <si>
    <t>IH35045</t>
  </si>
  <si>
    <t>IH39102</t>
  </si>
  <si>
    <t>IM91489</t>
  </si>
  <si>
    <t xml:space="preserve"> XREF_DB2COLLECTIONID1</t>
  </si>
  <si>
    <t>IM92010</t>
  </si>
  <si>
    <t>PIXRF008</t>
  </si>
  <si>
    <t>XREF_DB2PACKAGE1</t>
  </si>
  <si>
    <t>IH13043</t>
  </si>
  <si>
    <t>IH12046</t>
  </si>
  <si>
    <t>PIXRF009</t>
  </si>
  <si>
    <t>XREF_DB2PLAN1</t>
  </si>
  <si>
    <t>IM91549</t>
  </si>
  <si>
    <t>PIXRF007</t>
  </si>
  <si>
    <t>XREF_DB2TABLE1</t>
  </si>
  <si>
    <t>ID25008</t>
  </si>
  <si>
    <t>IM90400</t>
  </si>
  <si>
    <t>PIXRF010</t>
  </si>
  <si>
    <t>XREF_DSNAME1</t>
  </si>
  <si>
    <t>IH49037</t>
  </si>
  <si>
    <t>IH53002</t>
  </si>
  <si>
    <t>PIXRF005</t>
  </si>
  <si>
    <t>PIXRF006</t>
  </si>
  <si>
    <t>ADMINISTRATOR</t>
  </si>
  <si>
    <t>IC4B019</t>
  </si>
  <si>
    <t>I10900</t>
  </si>
  <si>
    <t>ID14009</t>
  </si>
  <si>
    <t>IH11045</t>
  </si>
  <si>
    <t>IH12133</t>
  </si>
  <si>
    <t>IH25115</t>
  </si>
  <si>
    <t>IH3A033</t>
  </si>
  <si>
    <t xml:space="preserve">obsolete password </t>
  </si>
  <si>
    <t>IH3A058</t>
  </si>
  <si>
    <t>IH4A016</t>
  </si>
  <si>
    <t>PIADM001</t>
  </si>
  <si>
    <t>PIADM002</t>
  </si>
  <si>
    <t>PIADM003</t>
  </si>
  <si>
    <t>XREF_JOB1</t>
  </si>
  <si>
    <t>IH4A042</t>
  </si>
  <si>
    <t>IC12012</t>
  </si>
  <si>
    <t>IC17008</t>
  </si>
  <si>
    <t>IC1B007</t>
  </si>
  <si>
    <t>Obsolete pfkeys</t>
  </si>
  <si>
    <t>IC3A007</t>
  </si>
  <si>
    <t>ID25004</t>
  </si>
  <si>
    <t>ID25006</t>
  </si>
  <si>
    <t>ID25007</t>
  </si>
  <si>
    <t>ID25009</t>
  </si>
  <si>
    <t>ID27005</t>
  </si>
  <si>
    <t>FOLDERS</t>
  </si>
  <si>
    <t>ASSIGN_FOLDER</t>
  </si>
  <si>
    <t>IH12021</t>
  </si>
  <si>
    <t>MISC1</t>
  </si>
  <si>
    <t>I12511</t>
  </si>
  <si>
    <t>I11316</t>
  </si>
  <si>
    <t>IC56006</t>
  </si>
  <si>
    <t>ID17004</t>
  </si>
  <si>
    <t>IH39023</t>
  </si>
  <si>
    <t>IH43143</t>
  </si>
  <si>
    <t>IH47053</t>
  </si>
  <si>
    <t>IM85804</t>
  </si>
  <si>
    <t>PRINTSETUP</t>
  </si>
  <si>
    <t>IH1A122</t>
  </si>
  <si>
    <t>IC13015</t>
  </si>
  <si>
    <t>IC25010</t>
  </si>
  <si>
    <t>IC25011</t>
  </si>
  <si>
    <t>IC27007</t>
  </si>
  <si>
    <t>IH12049</t>
  </si>
  <si>
    <t>IH13053</t>
  </si>
  <si>
    <t>IH17125</t>
  </si>
  <si>
    <t>IH18079</t>
  </si>
  <si>
    <t>IH49031</t>
  </si>
  <si>
    <t>SORTS</t>
  </si>
  <si>
    <t>IH36020</t>
  </si>
  <si>
    <t>XREF1</t>
  </si>
  <si>
    <t>I13095</t>
  </si>
  <si>
    <t>I13095a</t>
  </si>
  <si>
    <t>IC13001</t>
  </si>
  <si>
    <t>I13034</t>
  </si>
  <si>
    <t>IH1B022</t>
  </si>
  <si>
    <t>IH45042</t>
  </si>
  <si>
    <t>IM104683</t>
  </si>
  <si>
    <t>IM93881</t>
  </si>
  <si>
    <t>IM90198</t>
  </si>
  <si>
    <t>PIXRF001</t>
  </si>
  <si>
    <t>XREF_JOB2</t>
  </si>
  <si>
    <t>IH49035</t>
  </si>
  <si>
    <t>IC53008</t>
  </si>
  <si>
    <t>IC56005</t>
  </si>
  <si>
    <t>IH28064</t>
  </si>
  <si>
    <t>IH2B003</t>
  </si>
  <si>
    <t>IH36050</t>
  </si>
  <si>
    <t>IH39051</t>
  </si>
  <si>
    <t>IH39100</t>
  </si>
  <si>
    <t>IH3A064</t>
  </si>
  <si>
    <t>IU53024</t>
  </si>
  <si>
    <t>XREF_PGM1</t>
  </si>
  <si>
    <t>IC2B006</t>
  </si>
  <si>
    <t>I12696</t>
  </si>
  <si>
    <t>IC2A003</t>
  </si>
  <si>
    <t>IC2C013</t>
  </si>
  <si>
    <t>IH39098</t>
  </si>
  <si>
    <t>IH49040</t>
  </si>
  <si>
    <t>IM93874</t>
  </si>
  <si>
    <t>IM93932</t>
  </si>
  <si>
    <t>PIXRF002</t>
  </si>
  <si>
    <t>XREF_PROC1</t>
  </si>
  <si>
    <t>ID25011</t>
  </si>
  <si>
    <t>IH1A015</t>
  </si>
  <si>
    <t>IH22161</t>
  </si>
  <si>
    <t>IH44087</t>
  </si>
  <si>
    <t>PIXRF003</t>
  </si>
  <si>
    <t>XREF_SYSOUT1</t>
  </si>
  <si>
    <t>IH1A030</t>
  </si>
  <si>
    <t>IH1A154</t>
  </si>
  <si>
    <t>IM90333</t>
  </si>
  <si>
    <t>PIXRF004</t>
  </si>
  <si>
    <t>Total Est. Time (in hours)</t>
  </si>
  <si>
    <t>Total Est. Days</t>
  </si>
  <si>
    <t>Total Number of Scripts</t>
  </si>
  <si>
    <t># of Scripts Converted</t>
  </si>
  <si>
    <t xml:space="preserve">% Completed </t>
  </si>
  <si>
    <t>XREF_DB2COLLECTIONID1</t>
  </si>
  <si>
    <t>Suite Totals</t>
  </si>
  <si>
    <t>Quarter</t>
  </si>
  <si>
    <t>Quarter 2010</t>
  </si>
  <si>
    <t>q1</t>
  </si>
  <si>
    <t>Scripts FY10</t>
  </si>
  <si>
    <t>WinRunner Cases</t>
  </si>
  <si>
    <t>New Test Cases</t>
  </si>
  <si>
    <t>WinR</t>
  </si>
  <si>
    <t>New TC</t>
  </si>
  <si>
    <t>Total Number of New Scripts</t>
  </si>
  <si>
    <t>New Scripts</t>
  </si>
  <si>
    <t>New</t>
  </si>
  <si>
    <t># Of New Scritps</t>
  </si>
  <si>
    <t>FY 2010</t>
  </si>
  <si>
    <t>Automation by Developer</t>
  </si>
  <si>
    <t>% FY2010 Automation</t>
  </si>
  <si>
    <t>MAP - Info/Xe</t>
  </si>
  <si>
    <t>Automation to Date</t>
  </si>
  <si>
    <t>Totals for each Automation Developer</t>
  </si>
  <si>
    <t>\</t>
  </si>
  <si>
    <t>Original 175 Info/Xe TestCases were WinRunner; coverted to MAP scripts</t>
  </si>
  <si>
    <t>Info/Xe - ISPF</t>
  </si>
  <si>
    <t>Info/Xe - Windows Client</t>
  </si>
  <si>
    <t>Project Automation - FY 2010</t>
  </si>
  <si>
    <t>Total Project     Automation</t>
  </si>
  <si>
    <t>Developer                 Totals</t>
  </si>
  <si>
    <t>Failed in PR290</t>
  </si>
  <si>
    <t>I725695</t>
  </si>
  <si>
    <t>Password specific</t>
  </si>
  <si>
    <t>PI106569</t>
  </si>
  <si>
    <t>need function to check # in confirmation panel matches panel list #</t>
  </si>
  <si>
    <t>IH1B052</t>
  </si>
  <si>
    <t>need function for drop-down sort menu column compare</t>
  </si>
  <si>
    <t>LisaQ1</t>
  </si>
  <si>
    <t>LisaQ2</t>
  </si>
  <si>
    <t>ClaudieQ2</t>
  </si>
  <si>
    <t>ClaudieQ1</t>
  </si>
  <si>
    <t>Total for LisaQ1</t>
  </si>
  <si>
    <t>Total for LisaQ2</t>
  </si>
  <si>
    <t>Total for LisaQ3</t>
  </si>
  <si>
    <t>Total for LisaQ4</t>
  </si>
  <si>
    <t>Total for ClaudieQ1</t>
  </si>
  <si>
    <t>Total for ClaudieQ2</t>
  </si>
  <si>
    <t>Total for ClaudieQ3</t>
  </si>
  <si>
    <t>Total for ClaudieQ4</t>
  </si>
  <si>
    <t>Total for ScottQ1</t>
  </si>
  <si>
    <t>Total for ScottQ2</t>
  </si>
  <si>
    <t>Total for ScottQ3</t>
  </si>
  <si>
    <t>Total for ScottQ4</t>
  </si>
  <si>
    <t>Analyst/Qtr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</si>
</sst>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;[Red]0.00"/>
    <numFmt numFmtId="167" formatCode="m/d;@"/>
    <numFmt numFmtId="168" formatCode="0.0%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color indexed="6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2060"/>
      <name val="Arial"/>
      <family val="2"/>
    </font>
    <font>
      <sz val="10"/>
      <color theme="3" tint="0.59999389629810485"/>
      <name val="Arial"/>
      <family val="2"/>
    </font>
    <font>
      <sz val="10"/>
      <color theme="7" tint="-0.249977111117893"/>
      <name val="Arial"/>
      <family val="2"/>
    </font>
    <font>
      <b/>
      <sz val="10"/>
      <color indexed="8"/>
      <name val="Arial"/>
      <family val="2"/>
    </font>
    <font>
      <sz val="10"/>
      <color rgb="FF92D050"/>
      <name val="Arial"/>
      <family val="2"/>
    </font>
    <font>
      <sz val="10"/>
      <color theme="9" tint="-0.499984740745262"/>
      <name val="Arial"/>
      <family val="2"/>
    </font>
    <font>
      <sz val="10"/>
      <color theme="9" tint="-0.249977111117893"/>
      <name val="Arial"/>
      <family val="2"/>
    </font>
    <font>
      <sz val="10"/>
      <color rgb="FF00000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4659260841701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indexed="64"/>
      </right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/>
      <diagonal/>
    </border>
    <border>
      <left style="thin">
        <color theme="4" tint="0.79995117038483843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6" fillId="0" borderId="0"/>
    <xf numFmtId="0" fontId="27" fillId="0" borderId="0">
      <alignment vertical="top" wrapText="1"/>
    </xf>
    <xf numFmtId="0" fontId="6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3" fillId="0" borderId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0" borderId="0"/>
    <xf numFmtId="0" fontId="3" fillId="0" borderId="0"/>
    <xf numFmtId="0" fontId="3" fillId="23" borderId="7" applyNumberFormat="0" applyFont="0" applyAlignment="0" applyProtection="0"/>
  </cellStyleXfs>
  <cellXfs count="298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4" fillId="24" borderId="11" xfId="0" applyFont="1" applyFill="1" applyBorder="1" applyAlignment="1">
      <alignment wrapText="1"/>
    </xf>
    <xf numFmtId="0" fontId="4" fillId="24" borderId="12" xfId="0" applyFont="1" applyFill="1" applyBorder="1" applyAlignment="1">
      <alignment wrapText="1"/>
    </xf>
    <xf numFmtId="0" fontId="4" fillId="24" borderId="13" xfId="0" applyFont="1" applyFill="1" applyBorder="1" applyAlignment="1">
      <alignment wrapText="1"/>
    </xf>
    <xf numFmtId="164" fontId="0" fillId="0" borderId="0" xfId="0" applyNumberFormat="1"/>
    <xf numFmtId="0" fontId="4" fillId="24" borderId="0" xfId="0" applyFont="1" applyFill="1" applyBorder="1"/>
    <xf numFmtId="164" fontId="4" fillId="24" borderId="14" xfId="0" applyNumberFormat="1" applyFont="1" applyFill="1" applyBorder="1"/>
    <xf numFmtId="164" fontId="3" fillId="0" borderId="10" xfId="1" applyNumberFormat="1" applyBorder="1"/>
    <xf numFmtId="0" fontId="4" fillId="24" borderId="0" xfId="0" applyFont="1" applyFill="1"/>
    <xf numFmtId="9" fontId="4" fillId="0" borderId="0" xfId="2" applyFont="1" applyFill="1"/>
    <xf numFmtId="9" fontId="4" fillId="24" borderId="16" xfId="2" applyFont="1" applyFill="1" applyBorder="1"/>
    <xf numFmtId="9" fontId="4" fillId="0" borderId="17" xfId="2" applyFont="1" applyFill="1" applyBorder="1"/>
    <xf numFmtId="164" fontId="3" fillId="0" borderId="10" xfId="1" applyNumberFormat="1" applyFont="1" applyBorder="1"/>
    <xf numFmtId="0" fontId="0" fillId="0" borderId="10" xfId="0" applyFill="1" applyBorder="1"/>
    <xf numFmtId="164" fontId="4" fillId="24" borderId="18" xfId="1" applyNumberFormat="1" applyFont="1" applyFill="1" applyBorder="1"/>
    <xf numFmtId="0" fontId="4" fillId="24" borderId="19" xfId="0" applyFont="1" applyFill="1" applyBorder="1"/>
    <xf numFmtId="0" fontId="4" fillId="0" borderId="10" xfId="0" applyFont="1" applyFill="1" applyBorder="1"/>
    <xf numFmtId="0" fontId="4" fillId="0" borderId="20" xfId="0" applyFont="1" applyFill="1" applyBorder="1"/>
    <xf numFmtId="0" fontId="4" fillId="0" borderId="0" xfId="0" applyFont="1" applyFill="1" applyBorder="1"/>
    <xf numFmtId="0" fontId="5" fillId="0" borderId="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24" borderId="25" xfId="0" applyFont="1" applyFill="1" applyBorder="1"/>
    <xf numFmtId="0" fontId="4" fillId="24" borderId="26" xfId="0" applyFont="1" applyFill="1" applyBorder="1"/>
    <xf numFmtId="0" fontId="4" fillId="0" borderId="21" xfId="0" applyFont="1" applyFill="1" applyBorder="1"/>
    <xf numFmtId="0" fontId="4" fillId="24" borderId="27" xfId="0" applyFont="1" applyFill="1" applyBorder="1"/>
    <xf numFmtId="0" fontId="4" fillId="24" borderId="28" xfId="0" applyFont="1" applyFill="1" applyBorder="1"/>
    <xf numFmtId="0" fontId="4" fillId="0" borderId="24" xfId="0" applyFont="1" applyFill="1" applyBorder="1"/>
    <xf numFmtId="0" fontId="4" fillId="0" borderId="23" xfId="0" applyFont="1" applyFill="1" applyBorder="1"/>
    <xf numFmtId="0" fontId="4" fillId="24" borderId="18" xfId="0" applyFont="1" applyFill="1" applyBorder="1"/>
    <xf numFmtId="0" fontId="4" fillId="24" borderId="29" xfId="0" applyFont="1" applyFill="1" applyBorder="1"/>
    <xf numFmtId="0" fontId="4" fillId="24" borderId="30" xfId="0" applyFont="1" applyFill="1" applyBorder="1"/>
    <xf numFmtId="0" fontId="4" fillId="24" borderId="31" xfId="0" applyFont="1" applyFill="1" applyBorder="1"/>
    <xf numFmtId="0" fontId="4" fillId="24" borderId="32" xfId="0" applyFont="1" applyFill="1" applyBorder="1"/>
    <xf numFmtId="0" fontId="4" fillId="0" borderId="10" xfId="0" applyFont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6" fillId="0" borderId="0" xfId="0" applyFont="1"/>
    <xf numFmtId="0" fontId="6" fillId="0" borderId="10" xfId="0" applyFont="1" applyBorder="1"/>
    <xf numFmtId="0" fontId="25" fillId="0" borderId="10" xfId="0" applyFont="1" applyBorder="1"/>
    <xf numFmtId="164" fontId="25" fillId="0" borderId="10" xfId="1" applyNumberFormat="1" applyFont="1" applyBorder="1"/>
    <xf numFmtId="0" fontId="25" fillId="0" borderId="0" xfId="0" applyFont="1"/>
    <xf numFmtId="0" fontId="25" fillId="0" borderId="24" xfId="0" applyFont="1" applyFill="1" applyBorder="1"/>
    <xf numFmtId="0" fontId="25" fillId="0" borderId="24" xfId="0" applyFont="1" applyBorder="1"/>
    <xf numFmtId="0" fontId="25" fillId="0" borderId="20" xfId="0" applyFont="1" applyBorder="1"/>
    <xf numFmtId="0" fontId="25" fillId="0" borderId="21" xfId="0" applyFont="1" applyBorder="1"/>
    <xf numFmtId="0" fontId="25" fillId="0" borderId="23" xfId="0" applyFont="1" applyBorder="1"/>
    <xf numFmtId="0" fontId="25" fillId="0" borderId="43" xfId="0" applyFont="1" applyFill="1" applyBorder="1"/>
    <xf numFmtId="0" fontId="25" fillId="0" borderId="35" xfId="0" applyFont="1" applyBorder="1"/>
    <xf numFmtId="0" fontId="25" fillId="0" borderId="36" xfId="0" applyFont="1" applyBorder="1"/>
    <xf numFmtId="0" fontId="25" fillId="0" borderId="41" xfId="0" applyFont="1" applyBorder="1"/>
    <xf numFmtId="0" fontId="25" fillId="0" borderId="42" xfId="0" applyFont="1" applyBorder="1"/>
    <xf numFmtId="0" fontId="25" fillId="0" borderId="39" xfId="0" applyFont="1" applyBorder="1"/>
    <xf numFmtId="0" fontId="25" fillId="0" borderId="0" xfId="0" applyFont="1" applyBorder="1"/>
    <xf numFmtId="164" fontId="25" fillId="0" borderId="40" xfId="1" applyNumberFormat="1" applyFont="1" applyBorder="1"/>
    <xf numFmtId="0" fontId="26" fillId="0" borderId="43" xfId="40" applyFont="1" applyFill="1" applyBorder="1" applyAlignment="1">
      <alignment horizontal="left"/>
    </xf>
    <xf numFmtId="0" fontId="26" fillId="0" borderId="0" xfId="40" applyFont="1"/>
    <xf numFmtId="0" fontId="26" fillId="0" borderId="0" xfId="41" applyFont="1" applyBorder="1" applyAlignment="1">
      <alignment horizontal="left" vertical="top" wrapText="1"/>
    </xf>
    <xf numFmtId="49" fontId="26" fillId="0" borderId="0" xfId="40" applyNumberFormat="1" applyFont="1" applyBorder="1" applyAlignment="1">
      <alignment horizontal="left" wrapText="1"/>
    </xf>
    <xf numFmtId="0" fontId="26" fillId="0" borderId="0" xfId="40" applyFont="1" applyFill="1"/>
    <xf numFmtId="0" fontId="26" fillId="0" borderId="44" xfId="40" applyFont="1" applyBorder="1"/>
    <xf numFmtId="0" fontId="26" fillId="0" borderId="46" xfId="40" applyFont="1" applyFill="1" applyBorder="1" applyAlignment="1">
      <alignment horizontal="left" vertical="top"/>
    </xf>
    <xf numFmtId="0" fontId="26" fillId="0" borderId="47" xfId="41" applyFont="1" applyBorder="1" applyAlignment="1">
      <alignment horizontal="left" vertical="top" wrapText="1"/>
    </xf>
    <xf numFmtId="0" fontId="26" fillId="27" borderId="0" xfId="40" applyFont="1" applyFill="1" applyBorder="1" applyAlignment="1">
      <alignment horizontal="center"/>
    </xf>
    <xf numFmtId="0" fontId="28" fillId="0" borderId="0" xfId="40" applyFont="1"/>
    <xf numFmtId="0" fontId="31" fillId="0" borderId="0" xfId="40" applyFont="1"/>
    <xf numFmtId="0" fontId="32" fillId="0" borderId="0" xfId="40" applyFont="1"/>
    <xf numFmtId="0" fontId="31" fillId="26" borderId="45" xfId="40" applyFont="1" applyFill="1" applyBorder="1"/>
    <xf numFmtId="0" fontId="34" fillId="0" borderId="0" xfId="40" applyFont="1"/>
    <xf numFmtId="0" fontId="26" fillId="28" borderId="0" xfId="40" applyFont="1" applyFill="1"/>
    <xf numFmtId="0" fontId="6" fillId="0" borderId="0" xfId="40" applyFont="1"/>
    <xf numFmtId="0" fontId="26" fillId="0" borderId="0" xfId="40" applyFont="1" applyFill="1" applyBorder="1"/>
    <xf numFmtId="0" fontId="34" fillId="28" borderId="0" xfId="40" applyFont="1" applyFill="1" applyBorder="1"/>
    <xf numFmtId="0" fontId="26" fillId="0" borderId="0" xfId="40" applyFont="1" applyBorder="1"/>
    <xf numFmtId="0" fontId="6" fillId="0" borderId="0" xfId="40" applyFont="1" applyBorder="1"/>
    <xf numFmtId="0" fontId="26" fillId="29" borderId="0" xfId="41" applyFont="1" applyFill="1" applyBorder="1" applyAlignment="1">
      <alignment horizontal="left" vertical="top" wrapText="1"/>
    </xf>
    <xf numFmtId="0" fontId="26" fillId="29" borderId="0" xfId="40" applyFont="1" applyFill="1"/>
    <xf numFmtId="0" fontId="26" fillId="29" borderId="0" xfId="40" applyFont="1" applyFill="1" applyBorder="1" applyAlignment="1">
      <alignment horizontal="left"/>
    </xf>
    <xf numFmtId="0" fontId="31" fillId="29" borderId="0" xfId="40" applyFont="1" applyFill="1" applyBorder="1" applyAlignment="1">
      <alignment horizontal="left"/>
    </xf>
    <xf numFmtId="0" fontId="30" fillId="28" borderId="0" xfId="40" applyFont="1" applyFill="1"/>
    <xf numFmtId="0" fontId="6" fillId="30" borderId="0" xfId="40" applyFont="1" applyFill="1"/>
    <xf numFmtId="0" fontId="26" fillId="30" borderId="0" xfId="40" applyFont="1" applyFill="1"/>
    <xf numFmtId="0" fontId="26" fillId="0" borderId="0" xfId="41" applyFont="1" applyBorder="1" applyAlignment="1">
      <alignment horizontal="right" vertical="top" wrapText="1"/>
    </xf>
    <xf numFmtId="0" fontId="26" fillId="28" borderId="43" xfId="40" applyFont="1" applyFill="1" applyBorder="1" applyAlignment="1">
      <alignment horizontal="left"/>
    </xf>
    <xf numFmtId="49" fontId="26" fillId="28" borderId="0" xfId="41" applyNumberFormat="1" applyFont="1" applyFill="1" applyAlignment="1">
      <alignment horizontal="left" vertical="center"/>
    </xf>
    <xf numFmtId="0" fontId="26" fillId="28" borderId="43" xfId="40" applyFont="1" applyFill="1" applyBorder="1" applyAlignment="1">
      <alignment horizontal="left" vertical="top"/>
    </xf>
    <xf numFmtId="0" fontId="26" fillId="28" borderId="0" xfId="40" applyFont="1" applyFill="1" applyBorder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25" borderId="0" xfId="0" applyFont="1" applyFill="1"/>
    <xf numFmtId="0" fontId="26" fillId="25" borderId="0" xfId="0" applyFont="1" applyFill="1" applyAlignment="1">
      <alignment horizontal="center"/>
    </xf>
    <xf numFmtId="0" fontId="26" fillId="27" borderId="0" xfId="0" applyFont="1" applyFill="1" applyAlignment="1">
      <alignment horizontal="center"/>
    </xf>
    <xf numFmtId="0" fontId="26" fillId="27" borderId="0" xfId="0" applyFont="1" applyFill="1"/>
    <xf numFmtId="0" fontId="26" fillId="0" borderId="0" xfId="0" applyFont="1" applyAlignment="1">
      <alignment horizontal="left"/>
    </xf>
    <xf numFmtId="14" fontId="26" fillId="0" borderId="0" xfId="0" applyNumberFormat="1" applyFont="1" applyAlignment="1">
      <alignment horizontal="center"/>
    </xf>
    <xf numFmtId="0" fontId="26" fillId="0" borderId="0" xfId="0" applyNumberFormat="1" applyFont="1"/>
    <xf numFmtId="0" fontId="26" fillId="0" borderId="0" xfId="0" applyFont="1" applyAlignment="1">
      <alignment wrapText="1"/>
    </xf>
    <xf numFmtId="0" fontId="30" fillId="0" borderId="0" xfId="0" applyFont="1"/>
    <xf numFmtId="0" fontId="26" fillId="29" borderId="0" xfId="0" applyFont="1" applyFill="1"/>
    <xf numFmtId="0" fontId="26" fillId="29" borderId="0" xfId="0" applyFont="1" applyFill="1" applyAlignment="1">
      <alignment horizontal="center"/>
    </xf>
    <xf numFmtId="14" fontId="26" fillId="29" borderId="0" xfId="0" applyNumberFormat="1" applyFont="1" applyFill="1" applyAlignment="1">
      <alignment horizontal="center"/>
    </xf>
    <xf numFmtId="0" fontId="38" fillId="0" borderId="0" xfId="0" applyFont="1"/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28" fillId="0" borderId="0" xfId="0" applyFont="1"/>
    <xf numFmtId="0" fontId="31" fillId="0" borderId="0" xfId="0" applyFont="1"/>
    <xf numFmtId="0" fontId="31" fillId="0" borderId="0" xfId="0" applyFont="1" applyAlignment="1">
      <alignment horizontal="center"/>
    </xf>
    <xf numFmtId="14" fontId="31" fillId="0" borderId="0" xfId="0" applyNumberFormat="1" applyFont="1" applyAlignment="1">
      <alignment horizontal="center"/>
    </xf>
    <xf numFmtId="0" fontId="30" fillId="28" borderId="0" xfId="0" applyFont="1" applyFill="1"/>
    <xf numFmtId="0" fontId="30" fillId="28" borderId="0" xfId="0" applyFont="1" applyFill="1" applyAlignment="1">
      <alignment horizontal="center"/>
    </xf>
    <xf numFmtId="14" fontId="30" fillId="28" borderId="0" xfId="0" applyNumberFormat="1" applyFont="1" applyFill="1" applyAlignment="1">
      <alignment horizontal="center"/>
    </xf>
    <xf numFmtId="0" fontId="6" fillId="30" borderId="0" xfId="0" applyFont="1" applyFill="1"/>
    <xf numFmtId="0" fontId="6" fillId="30" borderId="0" xfId="0" applyFont="1" applyFill="1" applyAlignment="1">
      <alignment horizontal="center"/>
    </xf>
    <xf numFmtId="14" fontId="6" fillId="30" borderId="0" xfId="0" applyNumberFormat="1" applyFont="1" applyFill="1" applyAlignment="1">
      <alignment horizontal="center"/>
    </xf>
    <xf numFmtId="0" fontId="2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28" borderId="0" xfId="0" applyFont="1" applyFill="1"/>
    <xf numFmtId="0" fontId="6" fillId="28" borderId="0" xfId="0" applyFont="1" applyFill="1" applyAlignment="1">
      <alignment horizontal="center"/>
    </xf>
    <xf numFmtId="14" fontId="6" fillId="28" borderId="0" xfId="0" applyNumberFormat="1" applyFont="1" applyFill="1" applyAlignment="1">
      <alignment horizontal="center"/>
    </xf>
    <xf numFmtId="0" fontId="37" fillId="29" borderId="0" xfId="0" applyFont="1" applyFill="1"/>
    <xf numFmtId="0" fontId="37" fillId="0" borderId="0" xfId="0" applyFont="1"/>
    <xf numFmtId="0" fontId="26" fillId="28" borderId="0" xfId="0" applyFont="1" applyFill="1"/>
    <xf numFmtId="0" fontId="26" fillId="28" borderId="0" xfId="0" applyFont="1" applyFill="1" applyAlignment="1">
      <alignment horizontal="center"/>
    </xf>
    <xf numFmtId="14" fontId="26" fillId="28" borderId="0" xfId="0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14" fontId="34" fillId="0" borderId="0" xfId="0" applyNumberFormat="1" applyFont="1" applyAlignment="1">
      <alignment horizontal="center"/>
    </xf>
    <xf numFmtId="0" fontId="34" fillId="0" borderId="0" xfId="0" applyFont="1"/>
    <xf numFmtId="0" fontId="33" fillId="0" borderId="0" xfId="0" applyFont="1"/>
    <xf numFmtId="0" fontId="26" fillId="0" borderId="0" xfId="0" applyFont="1" applyBorder="1" applyAlignment="1">
      <alignment horizontal="center"/>
    </xf>
    <xf numFmtId="0" fontId="26" fillId="0" borderId="0" xfId="0" applyFont="1" applyBorder="1"/>
    <xf numFmtId="0" fontId="34" fillId="28" borderId="0" xfId="0" applyFont="1" applyFill="1" applyBorder="1" applyAlignment="1">
      <alignment horizontal="center"/>
    </xf>
    <xf numFmtId="14" fontId="34" fillId="28" borderId="0" xfId="0" applyNumberFormat="1" applyFont="1" applyFill="1" applyBorder="1" applyAlignment="1">
      <alignment horizontal="center"/>
    </xf>
    <xf numFmtId="0" fontId="34" fillId="28" borderId="0" xfId="0" applyFont="1" applyFill="1" applyBorder="1"/>
    <xf numFmtId="14" fontId="26" fillId="0" borderId="0" xfId="0" applyNumberFormat="1" applyFont="1" applyBorder="1" applyAlignment="1">
      <alignment horizontal="center"/>
    </xf>
    <xf numFmtId="0" fontId="35" fillId="0" borderId="0" xfId="0" applyFont="1" applyBorder="1"/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29" fillId="0" borderId="0" xfId="0" applyFont="1"/>
    <xf numFmtId="0" fontId="32" fillId="0" borderId="0" xfId="0" applyFont="1" applyAlignment="1">
      <alignment horizontal="center"/>
    </xf>
    <xf numFmtId="14" fontId="32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6" fillId="30" borderId="0" xfId="0" applyFont="1" applyFill="1"/>
    <xf numFmtId="0" fontId="26" fillId="30" borderId="0" xfId="0" applyFont="1" applyFill="1" applyAlignment="1">
      <alignment horizontal="center"/>
    </xf>
    <xf numFmtId="14" fontId="26" fillId="30" borderId="0" xfId="0" applyNumberFormat="1" applyFont="1" applyFill="1" applyAlignment="1">
      <alignment horizontal="center"/>
    </xf>
    <xf numFmtId="0" fontId="31" fillId="0" borderId="0" xfId="0" applyFont="1" applyAlignment="1">
      <alignment wrapText="1"/>
    </xf>
    <xf numFmtId="1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6" fillId="0" borderId="0" xfId="0" applyNumberFormat="1" applyFont="1" applyAlignment="1">
      <alignment horizontal="center"/>
    </xf>
    <xf numFmtId="0" fontId="39" fillId="31" borderId="43" xfId="0" applyFont="1" applyFill="1" applyBorder="1" applyAlignment="1">
      <alignment horizontal="left"/>
    </xf>
    <xf numFmtId="0" fontId="4" fillId="24" borderId="35" xfId="0" applyFont="1" applyFill="1" applyBorder="1" applyAlignment="1">
      <alignment horizontal="center"/>
    </xf>
    <xf numFmtId="0" fontId="4" fillId="24" borderId="22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165" fontId="25" fillId="0" borderId="10" xfId="0" applyNumberFormat="1" applyFont="1" applyBorder="1"/>
    <xf numFmtId="165" fontId="0" fillId="0" borderId="10" xfId="0" applyNumberFormat="1" applyBorder="1"/>
    <xf numFmtId="0" fontId="40" fillId="0" borderId="10" xfId="0" applyFont="1" applyBorder="1"/>
    <xf numFmtId="0" fontId="4" fillId="24" borderId="35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25" fillId="0" borderId="10" xfId="0" applyFont="1" applyBorder="1"/>
    <xf numFmtId="0" fontId="25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 wrapText="1"/>
    </xf>
    <xf numFmtId="0" fontId="26" fillId="29" borderId="43" xfId="0" applyFont="1" applyFill="1" applyBorder="1" applyAlignment="1">
      <alignment horizontal="center"/>
    </xf>
    <xf numFmtId="0" fontId="6" fillId="28" borderId="43" xfId="40" applyFont="1" applyFill="1" applyBorder="1"/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2" fontId="4" fillId="0" borderId="0" xfId="41" applyNumberFormat="1" applyFont="1" applyFill="1" applyBorder="1" applyAlignment="1">
      <alignment horizontal="center" vertical="top" wrapText="1"/>
    </xf>
    <xf numFmtId="0" fontId="0" fillId="0" borderId="0" xfId="0"/>
    <xf numFmtId="0" fontId="25" fillId="0" borderId="10" xfId="0" applyFont="1" applyBorder="1"/>
    <xf numFmtId="164" fontId="25" fillId="0" borderId="10" xfId="1" applyNumberFormat="1" applyFont="1" applyBorder="1"/>
    <xf numFmtId="0" fontId="26" fillId="0" borderId="0" xfId="41" applyFont="1" applyBorder="1" applyAlignment="1">
      <alignment horizontal="left" vertical="top" wrapText="1"/>
    </xf>
    <xf numFmtId="0" fontId="26" fillId="29" borderId="0" xfId="41" applyFont="1" applyFill="1" applyBorder="1" applyAlignment="1">
      <alignment horizontal="left" vertical="top" wrapText="1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25" borderId="0" xfId="0" applyFont="1" applyFill="1" applyAlignment="1">
      <alignment horizontal="center"/>
    </xf>
    <xf numFmtId="0" fontId="26" fillId="27" borderId="0" xfId="0" applyFont="1" applyFill="1" applyAlignment="1">
      <alignment horizontal="center"/>
    </xf>
    <xf numFmtId="14" fontId="26" fillId="0" borderId="0" xfId="0" applyNumberFormat="1" applyFont="1" applyAlignment="1">
      <alignment horizontal="center"/>
    </xf>
    <xf numFmtId="0" fontId="26" fillId="29" borderId="0" xfId="0" applyFont="1" applyFill="1"/>
    <xf numFmtId="0" fontId="26" fillId="29" borderId="0" xfId="0" applyFont="1" applyFill="1" applyAlignment="1">
      <alignment horizontal="center"/>
    </xf>
    <xf numFmtId="14" fontId="26" fillId="29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0" fillId="28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26" fillId="28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26" fillId="0" borderId="0" xfId="0" applyFont="1" applyBorder="1" applyAlignment="1">
      <alignment horizontal="center"/>
    </xf>
    <xf numFmtId="0" fontId="34" fillId="28" borderId="0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6" fillId="30" borderId="0" xfId="0" applyFont="1" applyFill="1" applyAlignment="1">
      <alignment horizontal="center"/>
    </xf>
    <xf numFmtId="49" fontId="4" fillId="0" borderId="0" xfId="41" applyNumberFormat="1" applyFont="1" applyFill="1" applyBorder="1" applyAlignment="1" applyProtection="1">
      <alignment horizontal="center" vertical="top"/>
      <protection locked="0"/>
    </xf>
    <xf numFmtId="0" fontId="4" fillId="0" borderId="0" xfId="41" applyFont="1" applyFill="1" applyBorder="1" applyAlignment="1">
      <alignment horizontal="center" vertical="top" wrapText="1"/>
    </xf>
    <xf numFmtId="0" fontId="4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166" fontId="3" fillId="0" borderId="0" xfId="0" applyNumberFormat="1" applyFont="1" applyFill="1"/>
    <xf numFmtId="0" fontId="3" fillId="0" borderId="0" xfId="0" applyFont="1" applyFill="1" applyAlignment="1">
      <alignment horizontal="center" wrapText="1"/>
    </xf>
    <xf numFmtId="166" fontId="3" fillId="0" borderId="0" xfId="0" applyNumberFormat="1" applyFont="1" applyFill="1" applyAlignment="1">
      <alignment horizontal="right"/>
    </xf>
    <xf numFmtId="0" fontId="31" fillId="0" borderId="0" xfId="0" applyFont="1" applyFill="1"/>
    <xf numFmtId="0" fontId="31" fillId="0" borderId="0" xfId="0" applyFont="1" applyFill="1" applyAlignment="1">
      <alignment horizontal="center"/>
    </xf>
    <xf numFmtId="166" fontId="31" fillId="0" borderId="0" xfId="0" applyNumberFormat="1" applyFont="1" applyFill="1"/>
    <xf numFmtId="0" fontId="4" fillId="0" borderId="0" xfId="0" applyFont="1" applyFill="1" applyAlignment="1">
      <alignment horizontal="center"/>
    </xf>
    <xf numFmtId="166" fontId="4" fillId="0" borderId="0" xfId="0" applyNumberFormat="1" applyFont="1" applyFill="1"/>
    <xf numFmtId="10" fontId="3" fillId="0" borderId="0" xfId="0" applyNumberFormat="1" applyFont="1" applyFill="1" applyAlignment="1">
      <alignment horizontal="center"/>
    </xf>
    <xf numFmtId="167" fontId="3" fillId="0" borderId="0" xfId="0" applyNumberFormat="1" applyFont="1" applyFill="1" applyAlignment="1">
      <alignment horizontal="center" wrapText="1"/>
    </xf>
    <xf numFmtId="0" fontId="31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shrinkToFit="1"/>
    </xf>
    <xf numFmtId="0" fontId="4" fillId="0" borderId="0" xfId="0" applyFont="1" applyFill="1" applyAlignment="1">
      <alignment horizontal="center" wrapText="1"/>
    </xf>
    <xf numFmtId="164" fontId="25" fillId="0" borderId="0" xfId="0" applyNumberFormat="1" applyFont="1"/>
    <xf numFmtId="0" fontId="25" fillId="0" borderId="48" xfId="0" applyFont="1" applyBorder="1"/>
    <xf numFmtId="164" fontId="0" fillId="0" borderId="10" xfId="0" applyNumberFormat="1" applyBorder="1"/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68" fontId="4" fillId="32" borderId="10" xfId="0" applyNumberFormat="1" applyFont="1" applyFill="1" applyBorder="1"/>
    <xf numFmtId="168" fontId="4" fillId="32" borderId="19" xfId="0" applyNumberFormat="1" applyFont="1" applyFill="1" applyBorder="1"/>
    <xf numFmtId="168" fontId="25" fillId="0" borderId="10" xfId="0" applyNumberFormat="1" applyFont="1" applyBorder="1"/>
    <xf numFmtId="0" fontId="4" fillId="0" borderId="49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0" fillId="0" borderId="16" xfId="0" applyBorder="1"/>
    <xf numFmtId="0" fontId="4" fillId="24" borderId="10" xfId="0" applyFont="1" applyFill="1" applyBorder="1" applyAlignment="1">
      <alignment horizontal="center" wrapText="1"/>
    </xf>
    <xf numFmtId="168" fontId="0" fillId="0" borderId="10" xfId="0" applyNumberFormat="1" applyBorder="1"/>
    <xf numFmtId="0" fontId="3" fillId="0" borderId="10" xfId="0" applyFont="1" applyBorder="1"/>
    <xf numFmtId="0" fontId="4" fillId="0" borderId="48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/>
    </xf>
    <xf numFmtId="0" fontId="4" fillId="24" borderId="23" xfId="0" applyFont="1" applyFill="1" applyBorder="1" applyAlignment="1">
      <alignment horizontal="center"/>
    </xf>
    <xf numFmtId="0" fontId="4" fillId="24" borderId="50" xfId="0" applyFont="1" applyFill="1" applyBorder="1" applyAlignment="1">
      <alignment horizontal="center"/>
    </xf>
    <xf numFmtId="0" fontId="0" fillId="0" borderId="0" xfId="0" applyBorder="1"/>
    <xf numFmtId="0" fontId="25" fillId="0" borderId="10" xfId="0" applyFont="1" applyFill="1" applyBorder="1"/>
    <xf numFmtId="0" fontId="4" fillId="0" borderId="49" xfId="0" applyFont="1" applyFill="1" applyBorder="1" applyAlignment="1">
      <alignment horizontal="center"/>
    </xf>
    <xf numFmtId="0" fontId="41" fillId="24" borderId="24" xfId="0" applyFont="1" applyFill="1" applyBorder="1" applyAlignment="1">
      <alignment horizontal="center" wrapText="1"/>
    </xf>
    <xf numFmtId="0" fontId="4" fillId="24" borderId="12" xfId="0" applyFont="1" applyFill="1" applyBorder="1" applyAlignment="1">
      <alignment horizontal="center" wrapText="1"/>
    </xf>
    <xf numFmtId="9" fontId="4" fillId="0" borderId="0" xfId="2" applyFont="1" applyFill="1" applyBorder="1"/>
    <xf numFmtId="0" fontId="4" fillId="24" borderId="48" xfId="0" applyFont="1" applyFill="1" applyBorder="1"/>
    <xf numFmtId="9" fontId="4" fillId="24" borderId="51" xfId="2" applyFont="1" applyFill="1" applyBorder="1"/>
    <xf numFmtId="0" fontId="4" fillId="32" borderId="19" xfId="0" applyFont="1" applyFill="1" applyBorder="1"/>
    <xf numFmtId="164" fontId="4" fillId="32" borderId="19" xfId="0" applyNumberFormat="1" applyFont="1" applyFill="1" applyBorder="1"/>
    <xf numFmtId="0" fontId="31" fillId="28" borderId="10" xfId="0" applyFont="1" applyFill="1" applyBorder="1"/>
    <xf numFmtId="0" fontId="0" fillId="0" borderId="52" xfId="0" applyBorder="1"/>
    <xf numFmtId="166" fontId="31" fillId="28" borderId="53" xfId="0" applyNumberFormat="1" applyFont="1" applyFill="1" applyBorder="1"/>
    <xf numFmtId="0" fontId="0" fillId="0" borderId="55" xfId="0" applyBorder="1"/>
    <xf numFmtId="0" fontId="3" fillId="0" borderId="52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166" fontId="3" fillId="0" borderId="56" xfId="0" applyNumberFormat="1" applyFont="1" applyFill="1" applyBorder="1"/>
    <xf numFmtId="0" fontId="31" fillId="28" borderId="54" xfId="0" applyFont="1" applyFill="1" applyBorder="1"/>
    <xf numFmtId="0" fontId="31" fillId="28" borderId="53" xfId="0" applyFont="1" applyFill="1" applyBorder="1"/>
    <xf numFmtId="0" fontId="31" fillId="28" borderId="53" xfId="0" applyFont="1" applyFill="1" applyBorder="1" applyAlignment="1">
      <alignment horizontal="center"/>
    </xf>
    <xf numFmtId="166" fontId="31" fillId="28" borderId="57" xfId="0" applyNumberFormat="1" applyFont="1" applyFill="1" applyBorder="1"/>
    <xf numFmtId="0" fontId="31" fillId="28" borderId="58" xfId="0" applyFont="1" applyFill="1" applyBorder="1" applyAlignment="1">
      <alignment horizontal="center"/>
    </xf>
    <xf numFmtId="0" fontId="31" fillId="28" borderId="24" xfId="0" applyFont="1" applyFill="1" applyBorder="1"/>
    <xf numFmtId="166" fontId="3" fillId="0" borderId="52" xfId="0" applyNumberFormat="1" applyFont="1" applyFill="1" applyBorder="1"/>
    <xf numFmtId="0" fontId="31" fillId="28" borderId="58" xfId="0" applyFont="1" applyFill="1" applyBorder="1"/>
    <xf numFmtId="0" fontId="31" fillId="28" borderId="40" xfId="0" applyFont="1" applyFill="1" applyBorder="1"/>
    <xf numFmtId="0" fontId="31" fillId="28" borderId="59" xfId="0" applyFont="1" applyFill="1" applyBorder="1"/>
    <xf numFmtId="0" fontId="31" fillId="28" borderId="57" xfId="0" applyFont="1" applyFill="1" applyBorder="1" applyAlignment="1">
      <alignment horizontal="center"/>
    </xf>
    <xf numFmtId="0" fontId="31" fillId="28" borderId="60" xfId="0" applyFont="1" applyFill="1" applyBorder="1"/>
    <xf numFmtId="0" fontId="3" fillId="0" borderId="59" xfId="0" applyFont="1" applyFill="1" applyBorder="1" applyAlignment="1">
      <alignment horizontal="center"/>
    </xf>
    <xf numFmtId="0" fontId="3" fillId="0" borderId="56" xfId="0" applyFont="1" applyFill="1" applyBorder="1" applyAlignment="1">
      <alignment horizontal="center"/>
    </xf>
    <xf numFmtId="0" fontId="0" fillId="0" borderId="61" xfId="0" applyBorder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52" xfId="0" applyFont="1" applyBorder="1" applyAlignment="1">
      <alignment horizontal="center"/>
    </xf>
    <xf numFmtId="0" fontId="31" fillId="28" borderId="62" xfId="0" applyFont="1" applyFill="1" applyBorder="1" applyAlignment="1">
      <alignment horizontal="center"/>
    </xf>
    <xf numFmtId="0" fontId="31" fillId="28" borderId="63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 wrapText="1"/>
    </xf>
    <xf numFmtId="0" fontId="3" fillId="0" borderId="10" xfId="0" applyNumberFormat="1" applyFont="1" applyBorder="1" applyAlignment="1">
      <alignment wrapText="1"/>
    </xf>
    <xf numFmtId="0" fontId="36" fillId="0" borderId="0" xfId="0" applyFont="1" applyAlignment="1">
      <alignment wrapText="1"/>
    </xf>
    <xf numFmtId="0" fontId="40" fillId="0" borderId="0" xfId="0" applyFont="1" applyBorder="1" applyAlignment="1">
      <alignment horizontal="center"/>
    </xf>
    <xf numFmtId="0" fontId="4" fillId="24" borderId="10" xfId="0" applyFont="1" applyFill="1" applyBorder="1" applyAlignment="1">
      <alignment horizontal="center"/>
    </xf>
    <xf numFmtId="0" fontId="4" fillId="24" borderId="24" xfId="0" applyFont="1" applyFill="1" applyBorder="1" applyAlignment="1">
      <alignment horizontal="center"/>
    </xf>
    <xf numFmtId="0" fontId="4" fillId="24" borderId="24" xfId="0" applyFont="1" applyFill="1" applyBorder="1" applyAlignment="1">
      <alignment horizontal="center" wrapText="1"/>
    </xf>
    <xf numFmtId="0" fontId="4" fillId="24" borderId="23" xfId="0" applyFont="1" applyFill="1" applyBorder="1" applyAlignment="1">
      <alignment horizontal="center" wrapText="1"/>
    </xf>
    <xf numFmtId="0" fontId="4" fillId="24" borderId="35" xfId="0" applyFont="1" applyFill="1" applyBorder="1" applyAlignment="1">
      <alignment horizontal="center"/>
    </xf>
    <xf numFmtId="0" fontId="4" fillId="24" borderId="36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4" borderId="40" xfId="0" applyFont="1" applyFill="1" applyBorder="1" applyAlignment="1">
      <alignment horizontal="center"/>
    </xf>
    <xf numFmtId="0" fontId="4" fillId="24" borderId="39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4" borderId="37" xfId="0" applyFont="1" applyFill="1" applyBorder="1" applyAlignment="1">
      <alignment horizontal="center"/>
    </xf>
    <xf numFmtId="0" fontId="4" fillId="24" borderId="38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24" borderId="33" xfId="0" applyFont="1" applyFill="1" applyBorder="1" applyAlignment="1">
      <alignment horizontal="center"/>
    </xf>
    <xf numFmtId="0" fontId="4" fillId="24" borderId="34" xfId="0" applyFont="1" applyFill="1" applyBorder="1" applyAlignment="1">
      <alignment horizontal="center"/>
    </xf>
    <xf numFmtId="0" fontId="4" fillId="24" borderId="23" xfId="0" applyFont="1" applyFill="1" applyBorder="1" applyAlignment="1">
      <alignment horizontal="center"/>
    </xf>
    <xf numFmtId="0" fontId="4" fillId="24" borderId="15" xfId="0" applyFont="1" applyFill="1" applyBorder="1" applyAlignment="1">
      <alignment horizontal="center"/>
    </xf>
  </cellXfs>
  <cellStyles count="56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Comma" xfId="1" builtinId="3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2 2" xfId="40"/>
    <cellStyle name="Normal 2 2 2" xfId="48"/>
    <cellStyle name="Normal 2 2 3" xfId="54"/>
    <cellStyle name="Normal 2 2 4" xfId="53"/>
    <cellStyle name="Normal 2 3" xfId="47"/>
    <cellStyle name="Normal 2 4" xfId="51"/>
    <cellStyle name="Normal 2 5" xfId="50"/>
    <cellStyle name="Normal_QA-PLN-ESW-7.1.0001-A" xfId="41"/>
    <cellStyle name="Note 2" xfId="42"/>
    <cellStyle name="Note 2 2" xfId="49"/>
    <cellStyle name="Note 2 3" xfId="55"/>
    <cellStyle name="Note 2 4" xfId="52"/>
    <cellStyle name="Output 2" xfId="43"/>
    <cellStyle name="Percent" xfId="2" builtinId="5"/>
    <cellStyle name="Title 2" xfId="44"/>
    <cellStyle name="Total 2" xfId="45"/>
    <cellStyle name="Warning Text 2" xfId="4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zoomScaleNormal="100" workbookViewId="0">
      <selection activeCell="I21" sqref="I21"/>
    </sheetView>
  </sheetViews>
  <sheetFormatPr defaultRowHeight="12.75"/>
  <cols>
    <col min="1" max="1" width="15.85546875" style="172" customWidth="1"/>
    <col min="2" max="2" width="12.42578125" style="172" customWidth="1"/>
    <col min="3" max="3" width="10.28515625" style="172" customWidth="1"/>
    <col min="4" max="4" width="11.5703125" style="172" customWidth="1"/>
    <col min="5" max="9" width="12.7109375" style="172" customWidth="1"/>
    <col min="10" max="10" width="9.140625" style="172"/>
    <col min="11" max="11" width="11.7109375" style="172" customWidth="1"/>
    <col min="12" max="12" width="11.28515625" style="172" customWidth="1"/>
    <col min="13" max="16384" width="9.140625" style="172"/>
  </cols>
  <sheetData>
    <row r="1" spans="1:23" ht="18" customHeight="1" thickBot="1">
      <c r="A1" s="217" t="s">
        <v>32</v>
      </c>
      <c r="B1" s="217"/>
      <c r="C1" s="217"/>
      <c r="D1" s="274" t="s">
        <v>694</v>
      </c>
      <c r="E1" s="274"/>
      <c r="F1" s="274"/>
      <c r="G1" s="274"/>
      <c r="H1" s="217"/>
      <c r="I1" s="217"/>
    </row>
    <row r="2" spans="1:23" ht="30.95" customHeight="1" thickTop="1" thickBot="1">
      <c r="A2" s="217"/>
      <c r="B2" s="279" t="s">
        <v>36</v>
      </c>
      <c r="C2" s="280"/>
      <c r="D2" s="231" t="s">
        <v>15</v>
      </c>
      <c r="E2" s="231" t="s">
        <v>16</v>
      </c>
      <c r="F2" s="231" t="s">
        <v>17</v>
      </c>
      <c r="G2" s="231" t="s">
        <v>18</v>
      </c>
      <c r="H2" s="230" t="s">
        <v>439</v>
      </c>
      <c r="I2" s="224" t="s">
        <v>686</v>
      </c>
      <c r="J2" s="277" t="s">
        <v>695</v>
      </c>
      <c r="K2" s="278"/>
      <c r="L2" s="224" t="s">
        <v>688</v>
      </c>
    </row>
    <row r="3" spans="1:23" ht="13.5" thickTop="1">
      <c r="A3" s="22" t="s">
        <v>9</v>
      </c>
      <c r="B3" s="35" t="s">
        <v>678</v>
      </c>
      <c r="C3" s="35" t="s">
        <v>679</v>
      </c>
      <c r="D3" s="222" t="s">
        <v>19</v>
      </c>
      <c r="E3" s="222" t="s">
        <v>19</v>
      </c>
      <c r="F3" s="222" t="s">
        <v>19</v>
      </c>
      <c r="G3" s="222" t="s">
        <v>19</v>
      </c>
      <c r="H3" s="222" t="s">
        <v>684</v>
      </c>
      <c r="I3" s="222"/>
      <c r="J3" s="227" t="s">
        <v>451</v>
      </c>
      <c r="K3" s="227" t="s">
        <v>19</v>
      </c>
      <c r="L3" s="2"/>
    </row>
    <row r="4" spans="1:23" s="162" customFormat="1">
      <c r="A4" s="173" t="s">
        <v>29</v>
      </c>
      <c r="B4" s="173">
        <f>'FY2010 Coverage'!E25</f>
        <v>285</v>
      </c>
      <c r="C4" s="173">
        <f>'FY2010 Coverage'!F25</f>
        <v>0</v>
      </c>
      <c r="D4" s="173">
        <f>'FY2010 Coverage'!G25</f>
        <v>21</v>
      </c>
      <c r="E4" s="173">
        <f>'FY2010 Coverage'!H25</f>
        <v>0</v>
      </c>
      <c r="F4" s="173">
        <f>'FY2010 Coverage'!I25</f>
        <v>0</v>
      </c>
      <c r="G4" s="173">
        <f>'FY2010 Coverage'!J25</f>
        <v>0</v>
      </c>
      <c r="H4" s="173">
        <f>'FY2010 Coverage'!K25</f>
        <v>21</v>
      </c>
      <c r="I4" s="220">
        <f>H4/J4</f>
        <v>7.3684210526315783E-2</v>
      </c>
      <c r="J4" s="173">
        <f>SUM(B4:C4)</f>
        <v>285</v>
      </c>
      <c r="K4" s="173">
        <f>'FY2010 Coverage'!L25</f>
        <v>253</v>
      </c>
      <c r="L4" s="220">
        <f>K4/J4</f>
        <v>0.88771929824561402</v>
      </c>
    </row>
    <row r="5" spans="1:23" s="162" customFormat="1">
      <c r="A5" s="173" t="s">
        <v>687</v>
      </c>
      <c r="B5" s="173">
        <f>'FY2010 Coverage'!E50</f>
        <v>173</v>
      </c>
      <c r="C5" s="173">
        <f>'FY2010 Coverage'!F50</f>
        <v>2</v>
      </c>
      <c r="D5" s="173">
        <f>'FY2010 Coverage'!G50</f>
        <v>4</v>
      </c>
      <c r="E5" s="173">
        <f>'FY2010 Coverage'!H50</f>
        <v>71</v>
      </c>
      <c r="F5" s="173">
        <f>'FY2010 Coverage'!I50</f>
        <v>0</v>
      </c>
      <c r="G5" s="173">
        <f>'FY2010 Coverage'!J50</f>
        <v>0</v>
      </c>
      <c r="H5" s="173">
        <f>'FY2010 Coverage'!K50</f>
        <v>75</v>
      </c>
      <c r="I5" s="220">
        <f>H5/J5</f>
        <v>0.42857142857142855</v>
      </c>
      <c r="J5" s="173">
        <f>SUM(B5:C5)</f>
        <v>175</v>
      </c>
      <c r="K5" s="173">
        <f>SUM(C5,D5,E5,F5)</f>
        <v>77</v>
      </c>
      <c r="L5" s="220">
        <f>K5/J5</f>
        <v>0.44</v>
      </c>
    </row>
    <row r="6" spans="1:23">
      <c r="A6" s="226"/>
      <c r="B6" s="2"/>
      <c r="C6" s="2"/>
      <c r="D6" s="2"/>
      <c r="E6" s="2"/>
      <c r="F6" s="2"/>
      <c r="G6" s="2"/>
      <c r="H6" s="2"/>
      <c r="I6" s="2"/>
      <c r="J6" s="2"/>
      <c r="K6" s="2"/>
      <c r="L6" s="225"/>
    </row>
    <row r="7" spans="1:23" ht="13.5" thickBot="1">
      <c r="A7" s="20" t="s">
        <v>12</v>
      </c>
      <c r="B7" s="17">
        <f t="shared" ref="B7:H7" si="0">SUM(B4:B6)</f>
        <v>458</v>
      </c>
      <c r="C7" s="17">
        <f t="shared" si="0"/>
        <v>2</v>
      </c>
      <c r="D7" s="17">
        <f t="shared" si="0"/>
        <v>25</v>
      </c>
      <c r="E7" s="17">
        <f t="shared" si="0"/>
        <v>71</v>
      </c>
      <c r="F7" s="17">
        <f t="shared" si="0"/>
        <v>0</v>
      </c>
      <c r="G7" s="17">
        <f t="shared" si="0"/>
        <v>0</v>
      </c>
      <c r="H7" s="17">
        <f t="shared" si="0"/>
        <v>96</v>
      </c>
      <c r="I7" s="219">
        <f>H7/J7</f>
        <v>0.20869565217391303</v>
      </c>
      <c r="J7" s="17">
        <f>SUM(J4:J6)</f>
        <v>460</v>
      </c>
      <c r="K7" s="17">
        <f>SUM(K4:K6)</f>
        <v>330</v>
      </c>
      <c r="L7" s="219">
        <f>K7/J7</f>
        <v>0.71739130434782605</v>
      </c>
    </row>
    <row r="8" spans="1:23" ht="13.5" thickTop="1"/>
    <row r="12" spans="1:23" ht="17.25" customHeight="1" thickBot="1">
      <c r="A12" s="274" t="s">
        <v>689</v>
      </c>
      <c r="B12" s="274"/>
      <c r="C12" s="274"/>
      <c r="D12" s="274"/>
      <c r="E12" s="274"/>
      <c r="F12" s="274"/>
      <c r="G12" s="274"/>
      <c r="H12" s="274"/>
      <c r="I12" s="274"/>
      <c r="J12" s="274"/>
      <c r="K12" s="274"/>
    </row>
    <row r="13" spans="1:23" s="223" customFormat="1" ht="30.95" customHeight="1" thickTop="1" thickBot="1">
      <c r="A13" s="229"/>
      <c r="B13" s="275" t="s">
        <v>36</v>
      </c>
      <c r="C13" s="276"/>
      <c r="D13" s="231" t="s">
        <v>15</v>
      </c>
      <c r="E13" s="231" t="s">
        <v>16</v>
      </c>
      <c r="F13" s="231" t="s">
        <v>17</v>
      </c>
      <c r="G13" s="231" t="s">
        <v>18</v>
      </c>
      <c r="H13" s="230" t="s">
        <v>439</v>
      </c>
      <c r="I13" s="224" t="s">
        <v>686</v>
      </c>
      <c r="J13" s="277" t="s">
        <v>696</v>
      </c>
      <c r="K13" s="278"/>
      <c r="L13" s="235" t="s">
        <v>685</v>
      </c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</row>
    <row r="14" spans="1:23" ht="13.5" thickTop="1">
      <c r="A14" s="18" t="s">
        <v>21</v>
      </c>
      <c r="B14" s="222" t="s">
        <v>678</v>
      </c>
      <c r="C14" s="222" t="s">
        <v>679</v>
      </c>
      <c r="D14" s="222" t="s">
        <v>19</v>
      </c>
      <c r="E14" s="222" t="s">
        <v>19</v>
      </c>
      <c r="F14" s="222" t="s">
        <v>19</v>
      </c>
      <c r="G14" s="222" t="s">
        <v>19</v>
      </c>
      <c r="H14" s="222" t="s">
        <v>684</v>
      </c>
      <c r="I14" s="221"/>
      <c r="J14" s="234" t="s">
        <v>451</v>
      </c>
      <c r="K14" s="227" t="s">
        <v>19</v>
      </c>
      <c r="L14" s="2"/>
    </row>
    <row r="15" spans="1:23" s="162" customFormat="1">
      <c r="A15" s="42" t="s">
        <v>33</v>
      </c>
      <c r="B15" s="173">
        <f>'FY2010 Coverage'!E58</f>
        <v>368</v>
      </c>
      <c r="C15" s="173">
        <f>'FY2010 Coverage'!F58</f>
        <v>1</v>
      </c>
      <c r="D15" s="173">
        <f>'FY2010 Coverage'!G58</f>
        <v>24</v>
      </c>
      <c r="E15" s="173">
        <f>'FY2010 Coverage'!H58</f>
        <v>62</v>
      </c>
      <c r="F15" s="173">
        <f>'FY2010 Coverage'!I58</f>
        <v>0</v>
      </c>
      <c r="G15" s="173">
        <f>'FY2010 Coverage'!J58</f>
        <v>0</v>
      </c>
      <c r="H15" s="173">
        <f>'FY2010 Coverage'!K58</f>
        <v>86</v>
      </c>
      <c r="I15" s="220">
        <f>H15/J15</f>
        <v>0.23306233062330622</v>
      </c>
      <c r="J15" s="173">
        <f>SUM(B15:C15)</f>
        <v>369</v>
      </c>
      <c r="K15" s="173">
        <f>'FY2010 Coverage'!L58</f>
        <v>318</v>
      </c>
      <c r="L15" s="220">
        <f>K15/J15</f>
        <v>0.86178861788617889</v>
      </c>
    </row>
    <row r="16" spans="1:23" s="162" customFormat="1">
      <c r="A16" s="42" t="s">
        <v>31</v>
      </c>
      <c r="B16" s="173">
        <f>'FY2010 Coverage'!E60</f>
        <v>90</v>
      </c>
      <c r="C16" s="173">
        <f>'FY2010 Coverage'!F62</f>
        <v>0</v>
      </c>
      <c r="D16" s="173">
        <f>'FY2010 Coverage'!G60</f>
        <v>1</v>
      </c>
      <c r="E16" s="173">
        <f>'FY2010 Coverage'!H60</f>
        <v>11</v>
      </c>
      <c r="F16" s="173">
        <f>'FY2010 Coverage'!I60</f>
        <v>0</v>
      </c>
      <c r="G16" s="173">
        <f>'FY2010 Coverage'!J60</f>
        <v>0</v>
      </c>
      <c r="H16" s="173">
        <f>'FY2010 Coverage'!K60</f>
        <v>10</v>
      </c>
      <c r="I16" s="220">
        <f>H16/J16</f>
        <v>0.1111111111111111</v>
      </c>
      <c r="J16" s="173">
        <f>SUM(B16:C16)</f>
        <v>90</v>
      </c>
      <c r="K16" s="173">
        <f>'FY2010 Coverage'!L60</f>
        <v>10</v>
      </c>
      <c r="L16" s="220">
        <f>K16/J16</f>
        <v>0.1111111111111111</v>
      </c>
    </row>
    <row r="17" spans="1:12" s="162" customFormat="1">
      <c r="A17" s="233" t="s">
        <v>28</v>
      </c>
      <c r="B17" s="173">
        <f>'FY2010 Coverage'!E59</f>
        <v>0</v>
      </c>
      <c r="C17" s="173">
        <f>'FY2010 Coverage'!F61</f>
        <v>0</v>
      </c>
      <c r="D17" s="173">
        <f>'FY2010 Coverage'!G59</f>
        <v>0</v>
      </c>
      <c r="E17" s="173">
        <f>'FY2010 Coverage'!H59</f>
        <v>0</v>
      </c>
      <c r="F17" s="173">
        <f>'FY2010 Coverage'!I59</f>
        <v>0</v>
      </c>
      <c r="G17" s="173">
        <f>'FY2010 Coverage'!J59</f>
        <v>0</v>
      </c>
      <c r="H17" s="173">
        <f>'FY2010 Coverage'!K59</f>
        <v>0</v>
      </c>
      <c r="I17" s="173"/>
      <c r="J17" s="173">
        <f>SUM(B17:C17)</f>
        <v>0</v>
      </c>
      <c r="K17" s="173">
        <f>'FY2010 Coverage'!L59</f>
        <v>0</v>
      </c>
      <c r="L17" s="220"/>
    </row>
    <row r="18" spans="1:12" ht="13.5" thickBot="1">
      <c r="A18" s="20" t="s">
        <v>12</v>
      </c>
      <c r="B18" s="17">
        <f t="shared" ref="B18:H18" si="1">SUM(B15:B16)</f>
        <v>458</v>
      </c>
      <c r="C18" s="17">
        <f t="shared" si="1"/>
        <v>1</v>
      </c>
      <c r="D18" s="17">
        <f t="shared" si="1"/>
        <v>25</v>
      </c>
      <c r="E18" s="17">
        <f t="shared" si="1"/>
        <v>73</v>
      </c>
      <c r="F18" s="17">
        <f t="shared" si="1"/>
        <v>0</v>
      </c>
      <c r="G18" s="17">
        <f t="shared" si="1"/>
        <v>0</v>
      </c>
      <c r="H18" s="17">
        <f t="shared" si="1"/>
        <v>96</v>
      </c>
      <c r="I18" s="219">
        <f>H18/J18</f>
        <v>0.20915032679738563</v>
      </c>
      <c r="J18" s="17">
        <f>SUM(J15:J16)</f>
        <v>459</v>
      </c>
      <c r="K18" s="17">
        <f>SUM(K15:K17)</f>
        <v>328</v>
      </c>
      <c r="L18" s="218">
        <f>K18/J18</f>
        <v>0.71459694989106759</v>
      </c>
    </row>
    <row r="19" spans="1:12" ht="13.5" thickTop="1"/>
    <row r="21" spans="1:12">
      <c r="B21" s="159" t="s">
        <v>32</v>
      </c>
    </row>
  </sheetData>
  <sheetProtection password="EAE5" sheet="1" objects="1" scenarios="1"/>
  <mergeCells count="6">
    <mergeCell ref="D1:G1"/>
    <mergeCell ref="A12:K12"/>
    <mergeCell ref="B13:C13"/>
    <mergeCell ref="J13:K13"/>
    <mergeCell ref="J2:K2"/>
    <mergeCell ref="B2:C2"/>
  </mergeCells>
  <pageMargins left="0.3" right="0.2" top="0.75" bottom="0.75" header="0.3" footer="0.3"/>
  <pageSetup scale="90" orientation="landscape" r:id="rId1"/>
  <headerFooter>
    <oddHeader>&amp;C&amp;"Arial,Bold"&amp;12&amp;A</oddHeader>
    <oddFooter>&amp;R&amp;"Arial,Bold"&amp;12&amp;D</oddFooter>
  </headerFooter>
  <ignoredErrors>
    <ignoredError sqref="I7 I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1"/>
  <sheetViews>
    <sheetView tabSelected="1" zoomScaleNormal="100" workbookViewId="0">
      <pane ySplit="1" topLeftCell="A2" activePane="bottomLeft" state="frozen"/>
      <selection activeCell="B1" sqref="B1"/>
      <selection pane="bottomLeft" activeCell="G58" sqref="G58"/>
    </sheetView>
  </sheetViews>
  <sheetFormatPr defaultRowHeight="12.75"/>
  <cols>
    <col min="1" max="1" width="16.5703125" hidden="1" customWidth="1"/>
    <col min="2" max="2" width="8.42578125" customWidth="1"/>
    <col min="3" max="3" width="34.5703125" customWidth="1"/>
    <col min="4" max="4" width="9.7109375" customWidth="1"/>
    <col min="5" max="5" width="11.85546875" customWidth="1"/>
    <col min="6" max="6" width="12" style="172" customWidth="1"/>
    <col min="7" max="7" width="14.140625" customWidth="1"/>
    <col min="8" max="8" width="13.5703125" customWidth="1"/>
    <col min="9" max="9" width="13.7109375" customWidth="1"/>
    <col min="10" max="10" width="13.28515625" customWidth="1"/>
    <col min="11" max="11" width="13.5703125" style="172" customWidth="1"/>
    <col min="12" max="13" width="14" customWidth="1"/>
  </cols>
  <sheetData>
    <row r="1" spans="1:14" ht="26.25" thickBot="1">
      <c r="A1" s="17" t="s">
        <v>9</v>
      </c>
      <c r="B1" s="17" t="s">
        <v>0</v>
      </c>
      <c r="C1" s="17" t="s">
        <v>11</v>
      </c>
      <c r="D1" s="17" t="s">
        <v>10</v>
      </c>
      <c r="E1" s="271" t="s">
        <v>676</v>
      </c>
      <c r="F1" s="271" t="s">
        <v>677</v>
      </c>
      <c r="G1" s="154" t="s">
        <v>440</v>
      </c>
      <c r="H1" s="158" t="s">
        <v>441</v>
      </c>
      <c r="I1" s="153" t="s">
        <v>442</v>
      </c>
      <c r="J1" s="153" t="s">
        <v>443</v>
      </c>
      <c r="K1" s="153" t="s">
        <v>675</v>
      </c>
      <c r="L1" s="154" t="s">
        <v>439</v>
      </c>
      <c r="M1" s="153" t="s">
        <v>444</v>
      </c>
    </row>
    <row r="2" spans="1:14" s="41" customFormat="1" ht="13.5" thickTop="1">
      <c r="A2" s="39" t="s">
        <v>26</v>
      </c>
      <c r="B2" s="39" t="s">
        <v>24</v>
      </c>
      <c r="C2" s="39" t="s">
        <v>37</v>
      </c>
      <c r="D2" s="39" t="s">
        <v>33</v>
      </c>
      <c r="E2" s="40">
        <f>'Coverage-Detail-ProJcl-2010'!A12</f>
        <v>7</v>
      </c>
      <c r="F2" s="174">
        <f>'Coverage-Detail-ProJcl-2010'!E12</f>
        <v>0</v>
      </c>
      <c r="G2" s="173">
        <f>COUNTIF('Coverage-Detail-ProJcl-2010'!H5:H11,"Q1")</f>
        <v>0</v>
      </c>
      <c r="H2" s="39">
        <f>COUNTIF('Coverage-Detail-ProJcl-2010'!H5:H11,"Q2")</f>
        <v>0</v>
      </c>
      <c r="I2" s="39">
        <f>COUNTIF('Coverage-Detail-ProJcl-2010'!H5:H11,"Q3")</f>
        <v>0</v>
      </c>
      <c r="J2" s="39">
        <f>COUNTIF('Coverage-Detail-ProJcl-2010'!H5:H11,"Q4")</f>
        <v>0</v>
      </c>
      <c r="K2" s="173">
        <f t="shared" ref="K2:K19" si="0">SUM(G2:J2)</f>
        <v>0</v>
      </c>
      <c r="L2" s="40">
        <f>COUNTIF('Coverage-Detail-ProJcl-2010'!D5:D11,"X")</f>
        <v>6</v>
      </c>
      <c r="M2" s="155">
        <f t="shared" ref="M2:M19" si="1">L2/E2*100</f>
        <v>85.714285714285708</v>
      </c>
      <c r="N2" s="213"/>
    </row>
    <row r="3" spans="1:14" s="41" customFormat="1">
      <c r="A3" s="39" t="s">
        <v>26</v>
      </c>
      <c r="B3" s="39" t="s">
        <v>24</v>
      </c>
      <c r="C3" s="39" t="s">
        <v>38</v>
      </c>
      <c r="D3" s="39" t="s">
        <v>33</v>
      </c>
      <c r="E3" s="40">
        <f>SUM('Coverage-Detail-ProJcl-2010'!A32,'Coverage-Detail-ProJcl-2010'!A21)</f>
        <v>14</v>
      </c>
      <c r="F3" s="174">
        <f>'Coverage-Detail-ProJcl-2010'!E32</f>
        <v>0</v>
      </c>
      <c r="G3" s="39">
        <f>COUNTIF('Coverage-Detail-ProJcl-2010'!H15:H31,"Q1")</f>
        <v>0</v>
      </c>
      <c r="H3" s="39">
        <f>COUNTIF('Coverage-Detail-ProJcl-2010'!H15:H31,"Q2")</f>
        <v>0</v>
      </c>
      <c r="I3" s="39">
        <f>COUNTIF('Coverage-Detail-ProJcl-2010'!H15:H31,"Q3")</f>
        <v>0</v>
      </c>
      <c r="J3" s="39">
        <f>COUNTIF('Coverage-Detail-ProJcl-2010'!H15:H31,"Q4")</f>
        <v>0</v>
      </c>
      <c r="K3" s="173">
        <f t="shared" si="0"/>
        <v>0</v>
      </c>
      <c r="L3" s="40">
        <f>COUNTIF('Coverage-Detail-ProJcl-2010'!D15:D31,"X")</f>
        <v>14</v>
      </c>
      <c r="M3" s="155">
        <f t="shared" si="1"/>
        <v>100</v>
      </c>
      <c r="N3" s="213"/>
    </row>
    <row r="4" spans="1:14" s="41" customFormat="1">
      <c r="A4" s="39" t="s">
        <v>26</v>
      </c>
      <c r="B4" s="39" t="s">
        <v>24</v>
      </c>
      <c r="C4" s="39" t="s">
        <v>39</v>
      </c>
      <c r="D4" s="39" t="s">
        <v>33</v>
      </c>
      <c r="E4" s="40">
        <f>SUM('Coverage-Detail-ProJcl-2010'!A52,'Coverage-Detail-ProJcl-2010'!A87)</f>
        <v>50</v>
      </c>
      <c r="F4" s="174">
        <f>'Coverage-Detail-ProJcl-2010'!E87</f>
        <v>0</v>
      </c>
      <c r="G4" s="39">
        <f>COUNTIF('Coverage-Detail-ProJcl-2010'!H34:H86,"Q1")</f>
        <v>1</v>
      </c>
      <c r="H4" s="39">
        <f>COUNTIF('Coverage-Detail-ProJcl-2010'!H34:H86,"Q2")</f>
        <v>0</v>
      </c>
      <c r="I4" s="39">
        <f>COUNTIF('Coverage-Detail-ProJcl-2010'!H34:H86,"Q3")</f>
        <v>0</v>
      </c>
      <c r="J4" s="39">
        <f>COUNTIF('Coverage-Detail-ProJcl-2010'!H34:H86,"Q4")</f>
        <v>0</v>
      </c>
      <c r="K4" s="173">
        <f t="shared" si="0"/>
        <v>1</v>
      </c>
      <c r="L4" s="40">
        <f>COUNTIF('Coverage-Detail-ProJcl-2010'!D34:D86,"X")</f>
        <v>49</v>
      </c>
      <c r="M4" s="155">
        <f t="shared" si="1"/>
        <v>98</v>
      </c>
      <c r="N4" s="213"/>
    </row>
    <row r="5" spans="1:14" s="41" customFormat="1">
      <c r="A5" s="39" t="s">
        <v>26</v>
      </c>
      <c r="B5" s="39" t="s">
        <v>24</v>
      </c>
      <c r="C5" s="39" t="s">
        <v>40</v>
      </c>
      <c r="D5" s="39" t="s">
        <v>33</v>
      </c>
      <c r="E5" s="40">
        <f>'Coverage-Detail-ProJcl-2010'!A105</f>
        <v>15</v>
      </c>
      <c r="F5" s="174">
        <f>'Coverage-Detail-ProJcl-2010'!E105</f>
        <v>0</v>
      </c>
      <c r="G5" s="39">
        <f>COUNTIF('Coverage-Detail-ProJcl-2010'!H90:H104,"Q1")</f>
        <v>4</v>
      </c>
      <c r="H5" s="39">
        <f>COUNTIF('Coverage-Detail-ProJcl-2010'!H90:H104,"Q2")</f>
        <v>0</v>
      </c>
      <c r="I5" s="39">
        <f>COUNTIF('Coverage-Detail-ProJcl-2010'!H90:H104,"Q3")</f>
        <v>0</v>
      </c>
      <c r="J5" s="39">
        <f>COUNTIF('Coverage-Detail-ProJcl-2010'!H90:H104,"Q4")</f>
        <v>0</v>
      </c>
      <c r="K5" s="173">
        <f t="shared" si="0"/>
        <v>4</v>
      </c>
      <c r="L5" s="40">
        <f>COUNTIF('Coverage-Detail-ProJcl-2010'!D90:D104,"X")</f>
        <v>13</v>
      </c>
      <c r="M5" s="155">
        <f t="shared" si="1"/>
        <v>86.666666666666671</v>
      </c>
      <c r="N5" s="213"/>
    </row>
    <row r="6" spans="1:14" s="41" customFormat="1">
      <c r="A6" s="39" t="s">
        <v>26</v>
      </c>
      <c r="B6" s="39" t="s">
        <v>24</v>
      </c>
      <c r="C6" s="39" t="s">
        <v>41</v>
      </c>
      <c r="D6" s="39" t="s">
        <v>33</v>
      </c>
      <c r="E6" s="40">
        <f>'Coverage-Detail-ProJcl-2010'!A111</f>
        <v>3</v>
      </c>
      <c r="F6" s="174">
        <f>'Coverage-Detail-ProJcl-2010'!E111</f>
        <v>0</v>
      </c>
      <c r="G6" s="39">
        <f>COUNTIF('Coverage-Detail-ProJcl-2010'!H108:H110,"Q1")</f>
        <v>1</v>
      </c>
      <c r="H6" s="39">
        <f>COUNTIF('Coverage-Detail-ProJcl-2010'!H108:H110,"Q2")</f>
        <v>0</v>
      </c>
      <c r="I6" s="39">
        <f>COUNTIF('Coverage-Detail-ProJcl-2010'!H108:H110,"Q3")</f>
        <v>0</v>
      </c>
      <c r="J6" s="39">
        <f>COUNTIF('Coverage-Detail-ProJcl-2010'!H108:H110,"Q4")</f>
        <v>0</v>
      </c>
      <c r="K6" s="173">
        <f t="shared" si="0"/>
        <v>1</v>
      </c>
      <c r="L6" s="40">
        <f>COUNTIF('Coverage-Detail-ProJcl-2010'!D108:D110,"X")</f>
        <v>3</v>
      </c>
      <c r="M6" s="155">
        <f t="shared" si="1"/>
        <v>100</v>
      </c>
      <c r="N6" s="213"/>
    </row>
    <row r="7" spans="1:14" s="41" customFormat="1">
      <c r="A7" s="39" t="s">
        <v>26</v>
      </c>
      <c r="B7" s="39" t="s">
        <v>24</v>
      </c>
      <c r="C7" s="39" t="s">
        <v>42</v>
      </c>
      <c r="D7" s="39" t="s">
        <v>33</v>
      </c>
      <c r="E7" s="40">
        <f>'Coverage-Detail-ProJcl-2010'!A138</f>
        <v>25</v>
      </c>
      <c r="F7" s="174">
        <f>'Coverage-Detail-ProJcl-2010'!E138</f>
        <v>0</v>
      </c>
      <c r="G7" s="39">
        <f>COUNTIF('Coverage-Detail-ProJcl-2010'!H113:H137,"Q1")</f>
        <v>3</v>
      </c>
      <c r="H7" s="39">
        <f>COUNTIF('Coverage-Detail-ProJcl-2010'!H113:H137,"Q2")</f>
        <v>0</v>
      </c>
      <c r="I7" s="39">
        <f>COUNTIF('Coverage-Detail-ProJcl-2010'!H113:H137,"Q3")</f>
        <v>0</v>
      </c>
      <c r="J7" s="39">
        <f>COUNTIF('Coverage-Detail-ProJcl-2010'!H113:H137,"Q4")</f>
        <v>0</v>
      </c>
      <c r="K7" s="173">
        <f t="shared" si="0"/>
        <v>3</v>
      </c>
      <c r="L7" s="40">
        <f>COUNTIF('Coverage-Detail-ProJcl-2010'!D113:D137,"X")</f>
        <v>25</v>
      </c>
      <c r="M7" s="155">
        <f t="shared" si="1"/>
        <v>100</v>
      </c>
      <c r="N7" s="213"/>
    </row>
    <row r="8" spans="1:14" s="41" customFormat="1">
      <c r="A8" s="39" t="s">
        <v>26</v>
      </c>
      <c r="B8" s="39" t="s">
        <v>24</v>
      </c>
      <c r="C8" s="39" t="s">
        <v>438</v>
      </c>
      <c r="D8" s="39" t="s">
        <v>33</v>
      </c>
      <c r="E8" s="40">
        <f>'Coverage-Detail-ProJcl-2010'!A142</f>
        <v>7</v>
      </c>
      <c r="F8" s="174">
        <f>'Coverage-Detail-ProJcl-2010'!E142</f>
        <v>0</v>
      </c>
      <c r="G8" s="39">
        <f>COUNTIF('Coverage-Detail-ProJcl-2010'!H140:H141,"Q1")</f>
        <v>0</v>
      </c>
      <c r="H8" s="39">
        <f>COUNTIF('Coverage-Detail-ProJcl-2010'!H140:H141,"Q2")</f>
        <v>0</v>
      </c>
      <c r="I8" s="39">
        <f>COUNTIF('Coverage-Detail-ProJcl-2010'!H140:H141,"Q3")</f>
        <v>0</v>
      </c>
      <c r="J8" s="39">
        <f>COUNTIF('Coverage-Detail-ProJcl-2010'!H140:H141,"Q4")</f>
        <v>0</v>
      </c>
      <c r="K8" s="173">
        <f t="shared" si="0"/>
        <v>0</v>
      </c>
      <c r="L8" s="40">
        <f>COUNTIF('Coverage-Detail-ProJcl-2010'!D133:D141,"X")</f>
        <v>5</v>
      </c>
      <c r="M8" s="155">
        <f t="shared" si="1"/>
        <v>71.428571428571431</v>
      </c>
      <c r="N8" s="213"/>
    </row>
    <row r="9" spans="1:14" s="41" customFormat="1">
      <c r="A9" s="39" t="s">
        <v>26</v>
      </c>
      <c r="B9" s="39" t="s">
        <v>24</v>
      </c>
      <c r="C9" s="39" t="s">
        <v>43</v>
      </c>
      <c r="D9" s="39" t="s">
        <v>33</v>
      </c>
      <c r="E9" s="40">
        <f>'Coverage-Detail-ProJcl-2010'!A146</f>
        <v>1</v>
      </c>
      <c r="F9" s="174">
        <f>'Coverage-Detail-ProJcl-2010'!E146</f>
        <v>0</v>
      </c>
      <c r="G9" s="39">
        <f>COUNTIF('Coverage-Detail-ProJcl-2010'!H144:H145,"Q1")</f>
        <v>0</v>
      </c>
      <c r="H9" s="39">
        <f>COUNTIF('Coverage-Detail-ProJcl-2010'!H144:H145,"Q2")</f>
        <v>0</v>
      </c>
      <c r="I9" s="39">
        <f>COUNTIF('Coverage-Detail-ProJcl-2010'!H144:H145,"Q3")</f>
        <v>0</v>
      </c>
      <c r="J9" s="39">
        <f>COUNTIF('Coverage-Detail-ProJcl-2010'!H144:H145,"Q4")</f>
        <v>0</v>
      </c>
      <c r="K9" s="173">
        <f t="shared" si="0"/>
        <v>0</v>
      </c>
      <c r="L9" s="40">
        <f>COUNTIF('Coverage-Detail-ProJcl-2010'!D144:D145,"X")</f>
        <v>0</v>
      </c>
      <c r="M9" s="155">
        <f t="shared" si="1"/>
        <v>0</v>
      </c>
      <c r="N9" s="213"/>
    </row>
    <row r="10" spans="1:14" s="41" customFormat="1">
      <c r="A10" s="39" t="s">
        <v>26</v>
      </c>
      <c r="B10" s="39" t="s">
        <v>24</v>
      </c>
      <c r="C10" s="39" t="s">
        <v>44</v>
      </c>
      <c r="D10" s="39" t="s">
        <v>33</v>
      </c>
      <c r="E10" s="40">
        <f>'Coverage-Detail-ProJcl-2010'!A168</f>
        <v>20</v>
      </c>
      <c r="F10" s="174">
        <f>'Coverage-Detail-ProJcl-2010'!E168</f>
        <v>0</v>
      </c>
      <c r="G10" s="39">
        <f>COUNTIF('Coverage-Detail-ProJcl-2010'!H148:H167,"Q1")</f>
        <v>1</v>
      </c>
      <c r="H10" s="39">
        <f>COUNTIF('Coverage-Detail-ProJcl-2010'!H148:H167,"Q2")</f>
        <v>0</v>
      </c>
      <c r="I10" s="39">
        <f>COUNTIF('Coverage-Detail-ProJcl-2010'!H148:H167,"Q3")</f>
        <v>0</v>
      </c>
      <c r="J10" s="39">
        <f>COUNTIF('Coverage-Detail-ProJcl-2010'!H148:H167,"Q4")</f>
        <v>0</v>
      </c>
      <c r="K10" s="173">
        <f t="shared" si="0"/>
        <v>1</v>
      </c>
      <c r="L10" s="40">
        <f>COUNTIF('Coverage-Detail-ProJcl-2010'!D148:D167,"X")</f>
        <v>16</v>
      </c>
      <c r="M10" s="155">
        <f t="shared" si="1"/>
        <v>80</v>
      </c>
      <c r="N10" s="213"/>
    </row>
    <row r="11" spans="1:14" s="41" customFormat="1">
      <c r="A11" s="39" t="s">
        <v>26</v>
      </c>
      <c r="B11" s="39" t="s">
        <v>24</v>
      </c>
      <c r="C11" s="39" t="s">
        <v>45</v>
      </c>
      <c r="D11" s="39" t="s">
        <v>33</v>
      </c>
      <c r="E11" s="40">
        <f>'Coverage-Detail-ProJcl-2010'!A179</f>
        <v>8</v>
      </c>
      <c r="F11" s="174">
        <f>'Coverage-Detail-ProJcl-2010'!E179</f>
        <v>0</v>
      </c>
      <c r="G11" s="39">
        <f>COUNTIF('Coverage-Detail-ProJcl-2010'!H171:H178,"Q1")</f>
        <v>2</v>
      </c>
      <c r="H11" s="39">
        <f>COUNTIF('Coverage-Detail-ProJcl-2010'!H171:H178,"Q2")</f>
        <v>0</v>
      </c>
      <c r="I11" s="39">
        <f>COUNTIF('Coverage-Detail-ProJcl-2010'!H171:H178,"Q3")</f>
        <v>0</v>
      </c>
      <c r="J11" s="39">
        <f>COUNTIF('Coverage-Detail-ProJcl-2010'!H171:H178,"Q4")</f>
        <v>0</v>
      </c>
      <c r="K11" s="173">
        <f t="shared" si="0"/>
        <v>2</v>
      </c>
      <c r="L11" s="40">
        <f>COUNTIF('Coverage-Detail-ProJcl-2010'!D171:D178,"X")</f>
        <v>8</v>
      </c>
      <c r="M11" s="155">
        <f t="shared" si="1"/>
        <v>100</v>
      </c>
      <c r="N11" s="213"/>
    </row>
    <row r="12" spans="1:14" s="41" customFormat="1">
      <c r="A12" s="39" t="s">
        <v>26</v>
      </c>
      <c r="B12" s="39" t="s">
        <v>24</v>
      </c>
      <c r="C12" s="39" t="s">
        <v>46</v>
      </c>
      <c r="D12" s="39" t="s">
        <v>33</v>
      </c>
      <c r="E12" s="40">
        <f>SUM('Coverage-Detail-ProJcl-2010'!A201,'Coverage-Detail-ProJcl-2010'!A231)</f>
        <v>47</v>
      </c>
      <c r="F12" s="174">
        <f>'Coverage-Detail-ProJcl-2010'!E231</f>
        <v>0</v>
      </c>
      <c r="G12" s="39">
        <f>COUNTIF('Coverage-Detail-ProJcl-2010'!H181:H230,"Q1")</f>
        <v>0</v>
      </c>
      <c r="H12" s="39">
        <f>COUNTIF('Coverage-Detail-ProJcl-2010'!H181:H230,"Q2")</f>
        <v>0</v>
      </c>
      <c r="I12" s="39">
        <f>COUNTIF('Coverage-Detail-ProJcl-2010'!H181:H230,"Q3")</f>
        <v>0</v>
      </c>
      <c r="J12" s="39">
        <f>COUNTIF('Coverage-Detail-ProJcl-2010'!H181:H230,"Q4")</f>
        <v>0</v>
      </c>
      <c r="K12" s="173">
        <f t="shared" si="0"/>
        <v>0</v>
      </c>
      <c r="L12" s="40">
        <f>COUNTIF('Coverage-Detail-ProJcl-2010'!D181:D230,"X")</f>
        <v>40</v>
      </c>
      <c r="M12" s="155">
        <f t="shared" si="1"/>
        <v>85.106382978723403</v>
      </c>
      <c r="N12" s="213"/>
    </row>
    <row r="13" spans="1:14" s="41" customFormat="1">
      <c r="A13" s="39" t="s">
        <v>26</v>
      </c>
      <c r="B13" s="39" t="s">
        <v>24</v>
      </c>
      <c r="C13" s="39" t="s">
        <v>47</v>
      </c>
      <c r="D13" s="39" t="s">
        <v>33</v>
      </c>
      <c r="E13" s="40">
        <f>'Coverage-Detail-ProJcl-2010'!A260</f>
        <v>26</v>
      </c>
      <c r="F13" s="174">
        <f>'Coverage-Detail-ProJcl-2010'!E260</f>
        <v>0</v>
      </c>
      <c r="G13" s="39">
        <f>COUNTIF('Coverage-Detail-ProJcl-2010'!H234:H259,"Q1")</f>
        <v>0</v>
      </c>
      <c r="H13" s="39">
        <f>COUNTIF('Coverage-Detail-ProJcl-2010'!H234:H259,"Q2")</f>
        <v>0</v>
      </c>
      <c r="I13" s="39">
        <f>COUNTIF('Coverage-Detail-ProJcl-2010'!H234:H259,"Q3")</f>
        <v>0</v>
      </c>
      <c r="J13" s="39">
        <f>COUNTIF('Coverage-Detail-ProJcl-2010'!H234:H259,"Q4")</f>
        <v>0</v>
      </c>
      <c r="K13" s="173">
        <f t="shared" si="0"/>
        <v>0</v>
      </c>
      <c r="L13" s="40">
        <f>COUNTIF('Coverage-Detail-ProJcl-2010'!D234:D259,"X")</f>
        <v>20</v>
      </c>
      <c r="M13" s="155">
        <f t="shared" si="1"/>
        <v>76.923076923076934</v>
      </c>
      <c r="N13" s="213"/>
    </row>
    <row r="14" spans="1:14" s="41" customFormat="1">
      <c r="A14" s="39" t="s">
        <v>26</v>
      </c>
      <c r="B14" s="39" t="s">
        <v>24</v>
      </c>
      <c r="C14" s="39" t="s">
        <v>48</v>
      </c>
      <c r="D14" s="39" t="s">
        <v>33</v>
      </c>
      <c r="E14" s="40">
        <f>'Coverage-Detail-ProJcl-2010'!A264</f>
        <v>1</v>
      </c>
      <c r="F14" s="174">
        <f>'Coverage-Detail-ProJcl-2010'!E264</f>
        <v>0</v>
      </c>
      <c r="G14" s="39">
        <f>COUNTIF('Coverage-Detail-ProJcl-2010'!H262:H263,"Q1")</f>
        <v>0</v>
      </c>
      <c r="H14" s="39">
        <f>COUNTIF('Coverage-Detail-ProJcl-2010'!H262:H263,"Q2")</f>
        <v>0</v>
      </c>
      <c r="I14" s="39">
        <f>COUNTIF('Coverage-Detail-ProJcl-2010'!H262:H263,"Q3")</f>
        <v>0</v>
      </c>
      <c r="J14" s="39">
        <f>COUNTIF('Coverage-Detail-ProJcl-2010'!H262:H263,"Q4")</f>
        <v>0</v>
      </c>
      <c r="K14" s="173">
        <f t="shared" si="0"/>
        <v>0</v>
      </c>
      <c r="L14" s="40">
        <f>COUNTIF('Coverage-Detail-ProJcl-2010'!D262:D263,"X")</f>
        <v>1</v>
      </c>
      <c r="M14" s="155">
        <f t="shared" si="1"/>
        <v>100</v>
      </c>
      <c r="N14" s="213"/>
    </row>
    <row r="15" spans="1:14" s="41" customFormat="1">
      <c r="A15" s="39" t="s">
        <v>26</v>
      </c>
      <c r="B15" s="39" t="s">
        <v>24</v>
      </c>
      <c r="C15" s="39" t="s">
        <v>49</v>
      </c>
      <c r="D15" s="39" t="s">
        <v>33</v>
      </c>
      <c r="E15" s="40">
        <f>'Coverage-Detail-ProJcl-2010'!A274</f>
        <v>7</v>
      </c>
      <c r="F15" s="174">
        <f>'Coverage-Detail-ProJcl-2010'!E274</f>
        <v>0</v>
      </c>
      <c r="G15" s="39">
        <f>COUNTIF('Coverage-Detail-ProJcl-2010'!H263:H273,"Q1")</f>
        <v>0</v>
      </c>
      <c r="H15" s="39">
        <f>COUNTIF('Coverage-Detail-ProJcl-2010'!H263:H273,"Q2")</f>
        <v>0</v>
      </c>
      <c r="I15" s="39">
        <f>COUNTIF('Coverage-Detail-ProJcl-2010'!H263:H273,"Q3")</f>
        <v>0</v>
      </c>
      <c r="J15" s="39">
        <f>COUNTIF('Coverage-Detail-ProJcl-2010'!H263:H273,"Q4")</f>
        <v>0</v>
      </c>
      <c r="K15" s="173">
        <f t="shared" si="0"/>
        <v>0</v>
      </c>
      <c r="L15" s="40">
        <f>COUNTIF('Coverage-Detail-ProJcl-2010'!D266:D272,"X")</f>
        <v>6</v>
      </c>
      <c r="M15" s="155">
        <f t="shared" si="1"/>
        <v>85.714285714285708</v>
      </c>
      <c r="N15" s="213"/>
    </row>
    <row r="16" spans="1:14" s="41" customFormat="1">
      <c r="A16" s="39" t="s">
        <v>26</v>
      </c>
      <c r="B16" s="39" t="s">
        <v>24</v>
      </c>
      <c r="C16" s="39" t="s">
        <v>50</v>
      </c>
      <c r="D16" s="39" t="s">
        <v>33</v>
      </c>
      <c r="E16" s="40">
        <f>'Coverage-Detail-ProJcl-2010'!A284</f>
        <v>7</v>
      </c>
      <c r="F16" s="174">
        <f>'Coverage-Detail-ProJcl-2010'!E284</f>
        <v>0</v>
      </c>
      <c r="G16" s="39">
        <f>COUNTIF('Coverage-Detail-ProJcl-2010'!H276:H283,"Q1")</f>
        <v>6</v>
      </c>
      <c r="H16" s="39">
        <f>COUNTIF('Coverage-Detail-ProJcl-2010'!H276:H283,"Q2")</f>
        <v>0</v>
      </c>
      <c r="I16" s="39">
        <f>COUNTIF('Coverage-Detail-ProJcl-2010'!H276:H283,"Q3")</f>
        <v>0</v>
      </c>
      <c r="J16" s="39">
        <f>COUNTIF('Coverage-Detail-ProJcl-2010'!H276:H283,"Q4")</f>
        <v>0</v>
      </c>
      <c r="K16" s="173">
        <f t="shared" si="0"/>
        <v>6</v>
      </c>
      <c r="L16" s="40">
        <f>COUNTIF('Coverage-Detail-ProJcl-2010'!D276:D282,"X")</f>
        <v>6</v>
      </c>
      <c r="M16" s="155">
        <f t="shared" si="1"/>
        <v>85.714285714285708</v>
      </c>
      <c r="N16" s="213"/>
    </row>
    <row r="17" spans="1:14" s="41" customFormat="1">
      <c r="A17" s="39" t="s">
        <v>26</v>
      </c>
      <c r="B17" s="39" t="s">
        <v>24</v>
      </c>
      <c r="C17" s="39" t="s">
        <v>51</v>
      </c>
      <c r="D17" s="39" t="s">
        <v>33</v>
      </c>
      <c r="E17" s="40">
        <f>'Coverage-Detail-ProJcl-2010'!A288</f>
        <v>1</v>
      </c>
      <c r="F17" s="174">
        <f>'Coverage-Detail-ProJcl-2010'!E288</f>
        <v>0</v>
      </c>
      <c r="G17" s="39">
        <f>COUNTIF('Coverage-Detail-ProJcl-2010'!H286:H287,"Q1")</f>
        <v>1</v>
      </c>
      <c r="H17" s="39">
        <f>COUNTIF('Coverage-Detail-ProJcl-2010'!H286:H287,"Q2")</f>
        <v>0</v>
      </c>
      <c r="I17" s="39">
        <f>COUNTIF('Coverage-Detail-ProJcl-2010'!H286:H287,"Q3")</f>
        <v>0</v>
      </c>
      <c r="J17" s="39">
        <f>COUNTIF('Coverage-Detail-ProJcl-2010'!H286:H287,"Q4")</f>
        <v>0</v>
      </c>
      <c r="K17" s="173">
        <f t="shared" si="0"/>
        <v>1</v>
      </c>
      <c r="L17" s="40">
        <f>COUNTIF('Coverage-Detail-ProJcl-2010'!D286:D287,"X")</f>
        <v>1</v>
      </c>
      <c r="M17" s="155">
        <f t="shared" si="1"/>
        <v>100</v>
      </c>
      <c r="N17" s="213"/>
    </row>
    <row r="18" spans="1:14" s="41" customFormat="1">
      <c r="A18" s="39" t="s">
        <v>26</v>
      </c>
      <c r="B18" s="39" t="s">
        <v>24</v>
      </c>
      <c r="C18" s="39" t="s">
        <v>52</v>
      </c>
      <c r="D18" s="39" t="s">
        <v>33</v>
      </c>
      <c r="E18" s="40">
        <f>'Coverage-Detail-ProJcl-2010'!A300</f>
        <v>8</v>
      </c>
      <c r="F18" s="174">
        <f>'Coverage-Detail-ProJcl-2010'!E300</f>
        <v>0</v>
      </c>
      <c r="G18" s="39">
        <f>COUNTIF('Coverage-Detail-ProJcl-2010'!H290:H299,"Q1")</f>
        <v>1</v>
      </c>
      <c r="H18" s="39">
        <f>COUNTIF('Coverage-Detail-ProJcl-2010'!H290:H299,"Q2")</f>
        <v>0</v>
      </c>
      <c r="I18" s="39">
        <f>COUNTIF('Coverage-Detail-ProJcl-2010'!H290:H299,"Q3")</f>
        <v>0</v>
      </c>
      <c r="J18" s="39">
        <f>COUNTIF('Coverage-Detail-ProJcl-2010'!H290:H299,"Q4")</f>
        <v>0</v>
      </c>
      <c r="K18" s="173">
        <f t="shared" si="0"/>
        <v>1</v>
      </c>
      <c r="L18" s="40">
        <f>COUNTIF('Coverage-Detail-ProJcl-2010'!D290:D299,"X")</f>
        <v>5</v>
      </c>
      <c r="M18" s="155">
        <f t="shared" si="1"/>
        <v>62.5</v>
      </c>
      <c r="N18" s="213"/>
    </row>
    <row r="19" spans="1:14" s="41" customFormat="1">
      <c r="A19" s="39" t="s">
        <v>26</v>
      </c>
      <c r="B19" s="39" t="s">
        <v>24</v>
      </c>
      <c r="C19" s="39" t="s">
        <v>53</v>
      </c>
      <c r="D19" s="39" t="s">
        <v>33</v>
      </c>
      <c r="E19" s="40">
        <f>SUM('Coverage-Detail-ProJcl-2010'!A320,'Coverage-Detail-ProJcl-2010'!A343)</f>
        <v>38</v>
      </c>
      <c r="F19" s="174">
        <f>'Coverage-Detail-ProJcl-2010'!E343</f>
        <v>0</v>
      </c>
      <c r="G19" s="39">
        <f>COUNTIF('Coverage-Detail-ProJcl-2010'!H302:H342,"Q1")</f>
        <v>1</v>
      </c>
      <c r="H19" s="39">
        <f>COUNTIF('Coverage-Detail-ProJcl-2010'!H302:H342,"Q2")</f>
        <v>0</v>
      </c>
      <c r="I19" s="39">
        <f>COUNTIF('Coverage-Detail-ProJcl-2010'!H302:H342,"Q3")</f>
        <v>0</v>
      </c>
      <c r="J19" s="39">
        <f>COUNTIF('Coverage-Detail-ProJcl-2010'!H302:H342,"Q4")</f>
        <v>0</v>
      </c>
      <c r="K19" s="173">
        <f t="shared" si="0"/>
        <v>1</v>
      </c>
      <c r="L19" s="40">
        <f>COUNTIF('Coverage-Detail-ProJcl-2010'!D302:D342,"X")</f>
        <v>35</v>
      </c>
      <c r="M19" s="155">
        <f t="shared" si="1"/>
        <v>92.10526315789474</v>
      </c>
      <c r="N19" s="213"/>
    </row>
    <row r="20" spans="1:14" s="41" customFormat="1">
      <c r="A20" s="39" t="s">
        <v>3</v>
      </c>
      <c r="B20" s="39" t="s">
        <v>24</v>
      </c>
      <c r="C20" s="39" t="s">
        <v>54</v>
      </c>
      <c r="D20" s="39" t="s">
        <v>28</v>
      </c>
      <c r="E20" s="40"/>
      <c r="F20" s="174"/>
      <c r="G20" s="39"/>
      <c r="H20" s="39"/>
      <c r="I20" s="39"/>
      <c r="J20" s="39"/>
      <c r="K20" s="173"/>
      <c r="L20" s="40" t="s">
        <v>32</v>
      </c>
      <c r="M20" s="155"/>
      <c r="N20" s="41" t="s">
        <v>32</v>
      </c>
    </row>
    <row r="21" spans="1:14" s="41" customFormat="1">
      <c r="A21" s="39" t="s">
        <v>3</v>
      </c>
      <c r="B21" s="39" t="s">
        <v>24</v>
      </c>
      <c r="C21" s="39" t="s">
        <v>55</v>
      </c>
      <c r="D21" s="39" t="s">
        <v>28</v>
      </c>
      <c r="E21" s="40"/>
      <c r="F21" s="174"/>
      <c r="G21" s="39"/>
      <c r="H21" s="39"/>
      <c r="I21" s="39"/>
      <c r="J21" s="39"/>
      <c r="K21" s="173"/>
      <c r="L21" s="40"/>
      <c r="M21" s="155"/>
    </row>
    <row r="22" spans="1:14" s="41" customFormat="1">
      <c r="A22" s="39" t="s">
        <v>3</v>
      </c>
      <c r="B22" s="39" t="s">
        <v>24</v>
      </c>
      <c r="C22" s="39" t="s">
        <v>42</v>
      </c>
      <c r="D22" s="39" t="s">
        <v>28</v>
      </c>
      <c r="E22" s="40"/>
      <c r="F22" s="174"/>
      <c r="G22" s="39"/>
      <c r="H22" s="39"/>
      <c r="I22" s="39"/>
      <c r="J22" s="39"/>
      <c r="K22" s="173"/>
      <c r="L22" s="40"/>
      <c r="M22" s="155"/>
    </row>
    <row r="23" spans="1:14" s="41" customFormat="1">
      <c r="A23" s="39" t="s">
        <v>3</v>
      </c>
      <c r="B23" s="39" t="s">
        <v>24</v>
      </c>
      <c r="C23" s="39" t="s">
        <v>56</v>
      </c>
      <c r="D23" s="39" t="s">
        <v>28</v>
      </c>
      <c r="E23" s="40"/>
      <c r="F23" s="174"/>
      <c r="G23" s="39"/>
      <c r="H23" s="39"/>
      <c r="I23" s="39"/>
      <c r="J23" s="39"/>
      <c r="K23" s="173"/>
      <c r="L23" s="40"/>
      <c r="M23" s="155"/>
    </row>
    <row r="24" spans="1:14" s="41" customFormat="1">
      <c r="A24" s="39" t="s">
        <v>3</v>
      </c>
      <c r="B24" s="39" t="s">
        <v>24</v>
      </c>
      <c r="C24" s="39" t="s">
        <v>57</v>
      </c>
      <c r="D24" s="39" t="s">
        <v>28</v>
      </c>
      <c r="E24" s="40"/>
      <c r="F24" s="174"/>
      <c r="G24" s="39"/>
      <c r="H24" s="39"/>
      <c r="I24" s="39"/>
      <c r="J24" s="39"/>
      <c r="K24" s="173"/>
      <c r="L24" s="40"/>
      <c r="M24" s="155"/>
    </row>
    <row r="25" spans="1:14" s="41" customFormat="1" ht="13.5" thickBot="1">
      <c r="A25" s="39"/>
      <c r="B25" s="39"/>
      <c r="C25" s="157" t="s">
        <v>447</v>
      </c>
      <c r="D25" s="39"/>
      <c r="E25" s="16">
        <f t="shared" ref="E25:L25" si="2">SUM(E2:E24)</f>
        <v>285</v>
      </c>
      <c r="F25" s="16">
        <f>SUM(F2:F24)</f>
        <v>0</v>
      </c>
      <c r="G25" s="16">
        <f t="shared" si="2"/>
        <v>21</v>
      </c>
      <c r="H25" s="16">
        <f t="shared" si="2"/>
        <v>0</v>
      </c>
      <c r="I25" s="16">
        <f t="shared" si="2"/>
        <v>0</v>
      </c>
      <c r="J25" s="16">
        <f t="shared" si="2"/>
        <v>0</v>
      </c>
      <c r="K25" s="16">
        <f t="shared" si="2"/>
        <v>21</v>
      </c>
      <c r="L25" s="16">
        <f t="shared" si="2"/>
        <v>253</v>
      </c>
      <c r="M25" s="155"/>
      <c r="N25" s="162" t="s">
        <v>32</v>
      </c>
    </row>
    <row r="26" spans="1:14" s="41" customFormat="1" ht="13.5" thickTop="1">
      <c r="A26" s="39" t="s">
        <v>26</v>
      </c>
      <c r="B26" s="39" t="s">
        <v>27</v>
      </c>
      <c r="C26" s="39" t="s">
        <v>467</v>
      </c>
      <c r="D26" s="161" t="s">
        <v>31</v>
      </c>
      <c r="E26" s="40">
        <f>'Coverage-Detail-Infox-2010'!A9</f>
        <v>6</v>
      </c>
      <c r="F26" s="174">
        <f>'Coverage-Detail-Infox-2010'!E9</f>
        <v>0</v>
      </c>
      <c r="G26" s="173">
        <f>COUNTIF('Coverage-Detail-Infox-2010'!H3:H8,"Q1")</f>
        <v>1</v>
      </c>
      <c r="H26" s="173">
        <f>COUNTIF('Coverage-Detail-Infox-2010'!H3:H8,"Q2")</f>
        <v>0</v>
      </c>
      <c r="I26" s="173">
        <f>COUNTIF('Coverage-Detail-Infox-2010'!H3:H8,"Q3")</f>
        <v>0</v>
      </c>
      <c r="J26" s="39">
        <f>COUNTIF('Coverage-Detail-Infox-2010'!H3:H8,"Q4")</f>
        <v>0</v>
      </c>
      <c r="K26" s="214">
        <f t="shared" ref="K26:K49" si="3">SUM(G26:J26)</f>
        <v>1</v>
      </c>
      <c r="L26" s="40">
        <f t="shared" ref="L26:L39" si="4">SUM(G26:J26)</f>
        <v>1</v>
      </c>
      <c r="M26" s="155">
        <f t="shared" ref="M26:M39" si="5">L26/E26*100</f>
        <v>16.666666666666664</v>
      </c>
    </row>
    <row r="27" spans="1:14" s="162" customFormat="1">
      <c r="A27" s="161"/>
      <c r="B27" s="161" t="s">
        <v>27</v>
      </c>
      <c r="C27" s="161" t="s">
        <v>476</v>
      </c>
      <c r="D27" s="161" t="s">
        <v>31</v>
      </c>
      <c r="E27" s="40">
        <f>'Coverage-Detail-Infox-2010'!A21</f>
        <v>10</v>
      </c>
      <c r="F27" s="174">
        <f>'Coverage-Detail-Infox-2010'!E21</f>
        <v>0</v>
      </c>
      <c r="G27" s="173">
        <f>COUNTIF('Coverage-Detail-Infox-2010'!H11:H20,"Q1")</f>
        <v>0</v>
      </c>
      <c r="H27" s="173">
        <f>COUNTIF('Coverage-Detail-Infox-2010'!H11:H20,"Q2")</f>
        <v>0</v>
      </c>
      <c r="I27" s="161">
        <f>COUNTIF('Coverage-Detail-Infox-2010'!H11:H20,"Q3")</f>
        <v>0</v>
      </c>
      <c r="J27" s="161">
        <f>COUNTIF('Coverage-Detail-Infox-2010'!H11:H20,"Q4")</f>
        <v>0</v>
      </c>
      <c r="K27" s="173">
        <f t="shared" si="3"/>
        <v>0</v>
      </c>
      <c r="L27" s="173">
        <f t="shared" si="4"/>
        <v>0</v>
      </c>
      <c r="M27" s="155">
        <f t="shared" si="5"/>
        <v>0</v>
      </c>
    </row>
    <row r="28" spans="1:14" s="162" customFormat="1">
      <c r="A28" s="161"/>
      <c r="B28" s="161" t="s">
        <v>27</v>
      </c>
      <c r="C28" s="161" t="s">
        <v>488</v>
      </c>
      <c r="D28" s="161" t="s">
        <v>31</v>
      </c>
      <c r="E28" s="40">
        <f>'Coverage-Detail-Infox-2010'!A45</f>
        <v>22</v>
      </c>
      <c r="F28" s="174">
        <f>'Coverage-Detail-Infox-2010'!E45</f>
        <v>0</v>
      </c>
      <c r="G28" s="173">
        <f>COUNTIF('Coverage-Detail-Infox-2010'!H23:H44,"Q1")</f>
        <v>0</v>
      </c>
      <c r="H28" s="173">
        <f>COUNTIF('Coverage-Detail-Infox-2010'!H23:H44,"Q2")</f>
        <v>0</v>
      </c>
      <c r="I28" s="161">
        <f>COUNTIF('Coverage-Detail-Infox-2010'!H23:H44,"Q3")</f>
        <v>0</v>
      </c>
      <c r="J28" s="161">
        <f>COUNTIF('Coverage-Detail-Infox-2010'!H23:H44,"Q4")</f>
        <v>0</v>
      </c>
      <c r="K28" s="173">
        <f t="shared" si="3"/>
        <v>0</v>
      </c>
      <c r="L28" s="173">
        <f t="shared" si="4"/>
        <v>0</v>
      </c>
      <c r="M28" s="155">
        <f t="shared" si="5"/>
        <v>0</v>
      </c>
    </row>
    <row r="29" spans="1:14" s="162" customFormat="1">
      <c r="A29" s="161"/>
      <c r="B29" s="161" t="s">
        <v>27</v>
      </c>
      <c r="C29" s="161" t="s">
        <v>511</v>
      </c>
      <c r="D29" s="161" t="s">
        <v>31</v>
      </c>
      <c r="E29" s="174">
        <f>'Coverage-Detail-Infox-2010'!A67</f>
        <v>20</v>
      </c>
      <c r="F29" s="174">
        <f>'Coverage-Detail-Infox-2010'!E67</f>
        <v>0</v>
      </c>
      <c r="G29" s="173">
        <f>COUNTIF('Coverage-Detail-Infox-2010'!H47:H66,"Q1")</f>
        <v>0</v>
      </c>
      <c r="H29" s="173">
        <f>COUNTIF('Coverage-Detail-Infox-2010'!H47:H66,"Q2")</f>
        <v>0</v>
      </c>
      <c r="I29" s="161">
        <f>COUNTIF('Coverage-Detail-Infox-2010'!H47:H66,"Q3")</f>
        <v>0</v>
      </c>
      <c r="J29" s="161">
        <f>COUNTIF('Coverage-Detail-Infox-2010'!H47:H66,"Q4")</f>
        <v>0</v>
      </c>
      <c r="K29" s="173">
        <f t="shared" si="3"/>
        <v>0</v>
      </c>
      <c r="L29" s="173">
        <f t="shared" si="4"/>
        <v>0</v>
      </c>
      <c r="M29" s="155">
        <f t="shared" si="5"/>
        <v>0</v>
      </c>
    </row>
    <row r="30" spans="1:14" s="162" customFormat="1">
      <c r="A30" s="161"/>
      <c r="B30" s="161" t="s">
        <v>27</v>
      </c>
      <c r="C30" s="161" t="s">
        <v>531</v>
      </c>
      <c r="D30" s="161" t="s">
        <v>31</v>
      </c>
      <c r="E30" s="174">
        <f>'Coverage-Detail-Infox-2010'!A81</f>
        <v>12</v>
      </c>
      <c r="F30" s="174">
        <f>'Coverage-Detail-Infox-2010'!E81</f>
        <v>0</v>
      </c>
      <c r="G30" s="173">
        <f>COUNTIF('Coverage-Detail-Infox-2010'!H69:H80,"Q1")</f>
        <v>0</v>
      </c>
      <c r="H30" s="173">
        <f>COUNTIF('Coverage-Detail-Infox-2010'!H69:H80,"Q2")</f>
        <v>0</v>
      </c>
      <c r="I30" s="161">
        <f>COUNTIF('Coverage-Detail-Infox-2010'!H69:H80,"Q3")</f>
        <v>0</v>
      </c>
      <c r="J30" s="161">
        <f>COUNTIF('Coverage-Detail-Infox-2010'!H69:H80,"Q4")</f>
        <v>0</v>
      </c>
      <c r="K30" s="173">
        <f t="shared" si="3"/>
        <v>0</v>
      </c>
      <c r="L30" s="173">
        <f t="shared" si="4"/>
        <v>0</v>
      </c>
      <c r="M30" s="155">
        <f t="shared" si="5"/>
        <v>0</v>
      </c>
    </row>
    <row r="31" spans="1:14" s="162" customFormat="1">
      <c r="A31" s="161"/>
      <c r="B31" s="161" t="s">
        <v>27</v>
      </c>
      <c r="C31" s="161" t="s">
        <v>544</v>
      </c>
      <c r="D31" s="161" t="s">
        <v>31</v>
      </c>
      <c r="E31" s="174">
        <f>'Coverage-Detail-Infox-2010'!A85</f>
        <v>2</v>
      </c>
      <c r="F31" s="174">
        <f>'Coverage-Detail-Infox-2010'!E85</f>
        <v>0</v>
      </c>
      <c r="G31" s="173">
        <f>COUNTIF('Coverage-Detail-Infox-2010'!H83:H84,"Q1")</f>
        <v>0</v>
      </c>
      <c r="H31" s="173">
        <f>COUNTIF('Coverage-Detail-Infox-2010'!H83:H84,"Q2")</f>
        <v>0</v>
      </c>
      <c r="I31" s="161">
        <f>COUNTIF('Coverage-Detail-Infox-2010'!H83:H84,"Q3")</f>
        <v>0</v>
      </c>
      <c r="J31" s="161">
        <f>COUNTIF('Coverage-Detail-Infox-2010'!H83:H84,"Q4")</f>
        <v>0</v>
      </c>
      <c r="K31" s="173">
        <f t="shared" si="3"/>
        <v>0</v>
      </c>
      <c r="L31" s="173">
        <f t="shared" si="4"/>
        <v>0</v>
      </c>
      <c r="M31" s="155">
        <f t="shared" si="5"/>
        <v>0</v>
      </c>
    </row>
    <row r="32" spans="1:14" s="162" customFormat="1">
      <c r="A32" s="161"/>
      <c r="B32" s="161" t="s">
        <v>27</v>
      </c>
      <c r="C32" s="161" t="s">
        <v>547</v>
      </c>
      <c r="D32" s="161" t="s">
        <v>31</v>
      </c>
      <c r="E32" s="174">
        <f>'Coverage-Detail-Infox-2010'!A91</f>
        <v>4</v>
      </c>
      <c r="F32" s="174">
        <f>'Coverage-Detail-Infox-2010'!E91</f>
        <v>0</v>
      </c>
      <c r="G32" s="173">
        <f>COUNTIF('Coverage-Detail-Infox-2010'!H87:H90,"Q1")</f>
        <v>0</v>
      </c>
      <c r="H32" s="173">
        <f>COUNTIF('Coverage-Detail-Infox-2010'!H87:H90,"Q2")</f>
        <v>0</v>
      </c>
      <c r="I32" s="161">
        <f>COUNTIF('Coverage-Detail-Infox-2010'!H87:H90,"Q3")</f>
        <v>0</v>
      </c>
      <c r="J32" s="161">
        <f>COUNTIF('Coverage-Detail-Infox-2010'!H87:H90,"Q4")</f>
        <v>0</v>
      </c>
      <c r="K32" s="173">
        <f t="shared" si="3"/>
        <v>0</v>
      </c>
      <c r="L32" s="173">
        <f t="shared" si="4"/>
        <v>0</v>
      </c>
      <c r="M32" s="155">
        <f t="shared" si="5"/>
        <v>0</v>
      </c>
    </row>
    <row r="33" spans="1:13" s="162" customFormat="1">
      <c r="A33" s="161"/>
      <c r="B33" s="161" t="s">
        <v>27</v>
      </c>
      <c r="C33" s="161" t="s">
        <v>670</v>
      </c>
      <c r="D33" s="161" t="s">
        <v>31</v>
      </c>
      <c r="E33" s="174">
        <f>'Coverage-Detail-Infox-2010'!A96</f>
        <v>2</v>
      </c>
      <c r="F33" s="174">
        <f>'Coverage-Detail-Infox-2010'!E96</f>
        <v>1</v>
      </c>
      <c r="G33" s="173">
        <f>COUNTIF('Coverage-Detail-Infox-2010'!H93:H95,"Q1")</f>
        <v>0</v>
      </c>
      <c r="H33" s="173">
        <f>COUNTIF('Coverage-Detail-Infox-2010'!H93:H95,"Q2")</f>
        <v>3</v>
      </c>
      <c r="I33" s="161">
        <f>COUNTIF('Coverage-Detail-Infox-2010'!H93:H95,"Q3")</f>
        <v>0</v>
      </c>
      <c r="J33" s="161">
        <f>COUNTIF('Coverage-Detail-Infox-2010'!H93:H95,"Q4")</f>
        <v>0</v>
      </c>
      <c r="K33" s="173">
        <f t="shared" si="3"/>
        <v>3</v>
      </c>
      <c r="L33" s="173">
        <f t="shared" si="4"/>
        <v>3</v>
      </c>
      <c r="M33" s="155">
        <f t="shared" si="5"/>
        <v>150</v>
      </c>
    </row>
    <row r="34" spans="1:13" s="162" customFormat="1">
      <c r="A34" s="161"/>
      <c r="B34" s="161" t="s">
        <v>27</v>
      </c>
      <c r="C34" s="161" t="s">
        <v>555</v>
      </c>
      <c r="D34" s="161" t="s">
        <v>31</v>
      </c>
      <c r="E34" s="174">
        <f>'Coverage-Detail-Infox-2010'!A101</f>
        <v>3</v>
      </c>
      <c r="F34" s="174">
        <f>'Coverage-Detail-Infox-2010'!E101</f>
        <v>0</v>
      </c>
      <c r="G34" s="173">
        <f>COUNTIF('Coverage-Detail-Infox-2010'!H98:H100,"Q1")</f>
        <v>0</v>
      </c>
      <c r="H34" s="173">
        <f>COUNTIF('Coverage-Detail-Infox-2010'!H98:H100,"Q2")</f>
        <v>2</v>
      </c>
      <c r="I34" s="161">
        <f>COUNTIF('Coverage-Detail-Infox-2010'!H98:H100,"Q3")</f>
        <v>0</v>
      </c>
      <c r="J34" s="161">
        <f>COUNTIF('Coverage-Detail-Infox-2010'!H98:H100,"Q4")</f>
        <v>0</v>
      </c>
      <c r="K34" s="173">
        <f t="shared" si="3"/>
        <v>2</v>
      </c>
      <c r="L34" s="173">
        <f t="shared" si="4"/>
        <v>2</v>
      </c>
      <c r="M34" s="155">
        <f t="shared" si="5"/>
        <v>66.666666666666657</v>
      </c>
    </row>
    <row r="35" spans="1:13" s="162" customFormat="1">
      <c r="A35" s="161"/>
      <c r="B35" s="161" t="s">
        <v>27</v>
      </c>
      <c r="C35" s="161" t="s">
        <v>559</v>
      </c>
      <c r="D35" s="161" t="s">
        <v>31</v>
      </c>
      <c r="E35" s="174">
        <f>'Coverage-Detail-Infox-2010'!A105</f>
        <v>2</v>
      </c>
      <c r="F35" s="174">
        <f>'Coverage-Detail-Infox-2010'!E105</f>
        <v>0</v>
      </c>
      <c r="G35" s="173">
        <f>COUNTIF('Coverage-Detail-Infox-2010'!H103:H104,"Q1")</f>
        <v>0</v>
      </c>
      <c r="H35" s="173">
        <f>COUNTIF('Coverage-Detail-Infox-2010'!H103:H104,"Q2")</f>
        <v>1</v>
      </c>
      <c r="I35" s="161">
        <f>COUNTIF('Coverage-Detail-Infox-2010'!H103:H104,"Q3")</f>
        <v>0</v>
      </c>
      <c r="J35" s="161">
        <f>COUNTIF('Coverage-Detail-Infox-2010'!H103:H104,"Q4")</f>
        <v>0</v>
      </c>
      <c r="K35" s="173">
        <f t="shared" si="3"/>
        <v>1</v>
      </c>
      <c r="L35" s="173">
        <f t="shared" si="4"/>
        <v>1</v>
      </c>
      <c r="M35" s="155">
        <f t="shared" si="5"/>
        <v>50</v>
      </c>
    </row>
    <row r="36" spans="1:13" s="162" customFormat="1">
      <c r="A36" s="161"/>
      <c r="B36" s="161" t="s">
        <v>27</v>
      </c>
      <c r="C36" s="161" t="s">
        <v>562</v>
      </c>
      <c r="D36" s="161" t="s">
        <v>31</v>
      </c>
      <c r="E36" s="174">
        <f>'Coverage-Detail-Infox-2010'!A110</f>
        <v>3</v>
      </c>
      <c r="F36" s="174">
        <f>'Coverage-Detail-Infox-2010'!E110</f>
        <v>0</v>
      </c>
      <c r="G36" s="173">
        <f>COUNTIF('Coverage-Detail-Infox-2010'!H107:H109,"Q1")</f>
        <v>0</v>
      </c>
      <c r="H36" s="173">
        <f>COUNTIF('Coverage-Detail-Infox-2010'!H107:H109,"Q2")</f>
        <v>2</v>
      </c>
      <c r="I36" s="161">
        <f>COUNTIF('Coverage-Detail-Infox-2010'!H107:H109,"Q3")</f>
        <v>0</v>
      </c>
      <c r="J36" s="161">
        <f>COUNTIF('Coverage-Detail-Infox-2010'!H107:H109,"Q4")</f>
        <v>0</v>
      </c>
      <c r="K36" s="173">
        <f t="shared" si="3"/>
        <v>2</v>
      </c>
      <c r="L36" s="173">
        <f t="shared" si="4"/>
        <v>2</v>
      </c>
      <c r="M36" s="155">
        <f t="shared" si="5"/>
        <v>66.666666666666657</v>
      </c>
    </row>
    <row r="37" spans="1:13" s="162" customFormat="1">
      <c r="A37" s="161"/>
      <c r="B37" s="161" t="s">
        <v>27</v>
      </c>
      <c r="C37" s="161" t="s">
        <v>566</v>
      </c>
      <c r="D37" s="161" t="s">
        <v>31</v>
      </c>
      <c r="E37" s="174">
        <f>'Coverage-Detail-Infox-2010'!A117</f>
        <v>4</v>
      </c>
      <c r="F37" s="174">
        <f>'Coverage-Detail-Infox-2010'!E117</f>
        <v>0</v>
      </c>
      <c r="G37" s="173">
        <f>COUNTIF('Coverage-Detail-Infox-2010'!H112:H116,"Q1")</f>
        <v>0</v>
      </c>
      <c r="H37" s="173">
        <f>COUNTIF('Coverage-Detail-Infox-2010'!H112:H116,"Q2")</f>
        <v>1</v>
      </c>
      <c r="I37" s="161">
        <f>COUNTIF('Coverage-Detail-Infox-2010'!H112:H116,"Q3")</f>
        <v>0</v>
      </c>
      <c r="J37" s="161">
        <f>COUNTIF('Coverage-Detail-Infox-2010'!H112:H116,"Q4")</f>
        <v>0</v>
      </c>
      <c r="K37" s="173">
        <f t="shared" si="3"/>
        <v>1</v>
      </c>
      <c r="L37" s="173">
        <f t="shared" si="4"/>
        <v>1</v>
      </c>
      <c r="M37" s="155">
        <f t="shared" si="5"/>
        <v>25</v>
      </c>
    </row>
    <row r="38" spans="1:13" s="162" customFormat="1">
      <c r="A38" s="161"/>
      <c r="B38" s="161" t="s">
        <v>27</v>
      </c>
      <c r="C38" s="161" t="s">
        <v>571</v>
      </c>
      <c r="D38" s="161" t="s">
        <v>33</v>
      </c>
      <c r="E38" s="174">
        <f>'Coverage-Detail-Infox-2010'!A131</f>
        <v>12</v>
      </c>
      <c r="F38" s="174">
        <f>'Coverage-Detail-Infox-2010'!E131</f>
        <v>0</v>
      </c>
      <c r="G38" s="161">
        <f>COUNTIF('Coverage-Detail-Infox-2010'!H119:H124,"Q1")</f>
        <v>3</v>
      </c>
      <c r="H38" s="161">
        <f>COUNTIF('Coverage-Detail-Infox-2010'!H119:H130,"Q2")</f>
        <v>7</v>
      </c>
      <c r="I38" s="161">
        <f>COUNTIF('Coverage-Detail-Infox-2010'!H119:H124,"Q3")</f>
        <v>0</v>
      </c>
      <c r="J38" s="161">
        <f>COUNTIF('Coverage-Detail-Infox-2010'!H119:H124,"Q4")</f>
        <v>0</v>
      </c>
      <c r="K38" s="173">
        <f t="shared" si="3"/>
        <v>10</v>
      </c>
      <c r="L38" s="173">
        <f t="shared" si="4"/>
        <v>10</v>
      </c>
      <c r="M38" s="155">
        <f t="shared" si="5"/>
        <v>83.333333333333343</v>
      </c>
    </row>
    <row r="39" spans="1:13" s="162" customFormat="1">
      <c r="A39" s="161"/>
      <c r="B39" s="161" t="s">
        <v>27</v>
      </c>
      <c r="C39" s="161" t="s">
        <v>585</v>
      </c>
      <c r="D39" s="161" t="s">
        <v>33</v>
      </c>
      <c r="E39" s="174">
        <f>'Coverage-Detail-Infox-2010'!A143</f>
        <v>10</v>
      </c>
      <c r="F39" s="174">
        <f>'Coverage-Detail-Infox-2010'!E143</f>
        <v>0</v>
      </c>
      <c r="G39" s="161">
        <f>COUNTIF('Coverage-Detail-Infox-2010'!H142:H1135,"Q1")</f>
        <v>0</v>
      </c>
      <c r="H39" s="161">
        <f>COUNTIF('Coverage-Detail-Infox-2010'!H133:H142,"Q2")</f>
        <v>9</v>
      </c>
      <c r="I39" s="161">
        <f>COUNTIF('Coverage-Detail-Infox-2010'!H133:H142,"Q3")</f>
        <v>0</v>
      </c>
      <c r="J39" s="161">
        <f>COUNTIF('Coverage-Detail-Infox-2010'!H133:H142,"Q4")</f>
        <v>0</v>
      </c>
      <c r="K39" s="173">
        <f t="shared" si="3"/>
        <v>9</v>
      </c>
      <c r="L39" s="173">
        <f t="shared" si="4"/>
        <v>9</v>
      </c>
      <c r="M39" s="155">
        <f t="shared" si="5"/>
        <v>90</v>
      </c>
    </row>
    <row r="40" spans="1:13" s="162" customFormat="1">
      <c r="A40" s="161"/>
      <c r="B40" s="161" t="s">
        <v>27</v>
      </c>
      <c r="C40" s="161" t="s">
        <v>597</v>
      </c>
      <c r="D40" s="161" t="s">
        <v>33</v>
      </c>
      <c r="E40" s="174">
        <f>'Coverage-Detail-Infox-2010'!A147</f>
        <v>2</v>
      </c>
      <c r="F40" s="174">
        <f>'Coverage-Detail-Infox-2010'!E147</f>
        <v>0</v>
      </c>
      <c r="G40" s="173">
        <f>COUNTIF('Coverage-Detail-Infox-2010'!H145:H146,"Q1")</f>
        <v>0</v>
      </c>
      <c r="H40" s="161">
        <f>COUNTIF('Coverage-Detail-Infox-2010'!H145:H146,"Q2")</f>
        <v>2</v>
      </c>
      <c r="I40" s="161">
        <f>COUNTIF('Coverage-Detail-Infox-2010'!H145:H146,"Q3")</f>
        <v>0</v>
      </c>
      <c r="J40" s="161">
        <f>COUNTIF('Coverage-Detail-Infox-2010'!H145:H146,"Q4")</f>
        <v>0</v>
      </c>
      <c r="K40" s="173">
        <f t="shared" si="3"/>
        <v>2</v>
      </c>
      <c r="L40" s="173">
        <f t="shared" ref="L40:L48" si="6">SUM(G40:J40)</f>
        <v>2</v>
      </c>
      <c r="M40" s="155">
        <f t="shared" ref="M40:M48" si="7">L40/E40*100</f>
        <v>100</v>
      </c>
    </row>
    <row r="41" spans="1:13" s="162" customFormat="1">
      <c r="A41" s="161"/>
      <c r="B41" s="161" t="s">
        <v>27</v>
      </c>
      <c r="C41" s="161" t="s">
        <v>600</v>
      </c>
      <c r="D41" s="161" t="s">
        <v>33</v>
      </c>
      <c r="E41" s="174">
        <f>'Coverage-Detail-Infox-2010'!A157</f>
        <v>8</v>
      </c>
      <c r="F41" s="174">
        <f>'Coverage-Detail-Infox-2010'!E157</f>
        <v>0</v>
      </c>
      <c r="G41" s="161">
        <f>COUNTIF('Coverage-Detail-Infox-2010'!H149:H156,"Q1")</f>
        <v>0</v>
      </c>
      <c r="H41" s="173">
        <f>COUNTIF('Coverage-Detail-Infox-2010'!H149:H156,"Q2")</f>
        <v>5</v>
      </c>
      <c r="I41" s="173">
        <f>COUNTIF('Coverage-Detail-Infox-2010'!H149:H156,"Q3")</f>
        <v>0</v>
      </c>
      <c r="J41" s="161">
        <f>COUNTIF('Coverage-Detail-Infox-2010'!H149:H156,"Q4")</f>
        <v>0</v>
      </c>
      <c r="K41" s="173">
        <f t="shared" si="3"/>
        <v>5</v>
      </c>
      <c r="L41" s="173">
        <f t="shared" si="6"/>
        <v>5</v>
      </c>
      <c r="M41" s="155">
        <f t="shared" si="7"/>
        <v>62.5</v>
      </c>
    </row>
    <row r="42" spans="1:13" s="162" customFormat="1">
      <c r="A42" s="161"/>
      <c r="B42" s="161" t="s">
        <v>27</v>
      </c>
      <c r="C42" s="161" t="s">
        <v>609</v>
      </c>
      <c r="D42" s="161" t="s">
        <v>33</v>
      </c>
      <c r="E42" s="174">
        <f>'Coverage-Detail-Infox-2010'!A169</f>
        <v>10</v>
      </c>
      <c r="F42" s="174">
        <f>'Coverage-Detail-Infox-2010'!E169</f>
        <v>0</v>
      </c>
      <c r="G42" s="173">
        <f>COUNTIF('Coverage-Detail-Infox-2010'!H159:H168,"Q1")</f>
        <v>0</v>
      </c>
      <c r="H42" s="173">
        <f>COUNTIF('Coverage-Detail-Infox-2010'!H159:H168,"Q2")</f>
        <v>9</v>
      </c>
      <c r="I42" s="173">
        <f>COUNTIF('Coverage-Detail-Infox-2010'!H159:H168,"Q3")</f>
        <v>0</v>
      </c>
      <c r="J42" s="161">
        <f>COUNTIF('Coverage-Detail-Infox-2010'!H159:H168,"Q4")</f>
        <v>0</v>
      </c>
      <c r="K42" s="173">
        <f t="shared" si="3"/>
        <v>9</v>
      </c>
      <c r="L42" s="173">
        <f t="shared" si="6"/>
        <v>9</v>
      </c>
      <c r="M42" s="155">
        <f t="shared" si="7"/>
        <v>90</v>
      </c>
    </row>
    <row r="43" spans="1:13" s="162" customFormat="1">
      <c r="A43" s="161"/>
      <c r="B43" s="161" t="s">
        <v>27</v>
      </c>
      <c r="C43" s="161" t="s">
        <v>620</v>
      </c>
      <c r="D43" s="161" t="s">
        <v>33</v>
      </c>
      <c r="E43" s="174">
        <f>'Coverage-Detail-Infox-2010'!A174</f>
        <v>2</v>
      </c>
      <c r="F43" s="174">
        <f>'Coverage-Detail-Infox-2010'!E174</f>
        <v>1</v>
      </c>
      <c r="G43" s="173">
        <f>COUNTIF('Coverage-Detail-Infox-2010'!H172:H173,"Q1")</f>
        <v>0</v>
      </c>
      <c r="H43" s="173">
        <f>COUNTIF('Coverage-Detail-Infox-2010'!H172:H173,"Q2")</f>
        <v>1</v>
      </c>
      <c r="I43" s="173">
        <f>COUNTIF('Coverage-Detail-Infox-2010'!H172:H173,"Q3")</f>
        <v>0</v>
      </c>
      <c r="J43" s="161">
        <f>COUNTIF('Coverage-Detail-Infox-2010'!H172:H173,"Q4")</f>
        <v>0</v>
      </c>
      <c r="K43" s="173">
        <f t="shared" si="3"/>
        <v>1</v>
      </c>
      <c r="L43" s="173">
        <f t="shared" si="6"/>
        <v>1</v>
      </c>
      <c r="M43" s="155">
        <f t="shared" si="7"/>
        <v>50</v>
      </c>
    </row>
    <row r="44" spans="1:13" s="162" customFormat="1">
      <c r="A44" s="161"/>
      <c r="B44" s="161" t="s">
        <v>27</v>
      </c>
      <c r="C44" s="161" t="s">
        <v>622</v>
      </c>
      <c r="D44" s="161" t="s">
        <v>33</v>
      </c>
      <c r="E44" s="174">
        <f>'Coverage-Detail-Infox-2010'!A186</f>
        <v>10</v>
      </c>
      <c r="F44" s="174">
        <f>'Coverage-Detail-Infox-2010'!E186</f>
        <v>0</v>
      </c>
      <c r="G44" s="173">
        <f>COUNTIF('Coverage-Detail-Infox-2010'!H175:H185,"Q1")</f>
        <v>0</v>
      </c>
      <c r="H44" s="173">
        <f>COUNTIF('Coverage-Detail-Infox-2010'!H175:H185,"Q2")</f>
        <v>9</v>
      </c>
      <c r="I44" s="173">
        <f>COUNTIF('Coverage-Detail-Infox-2010'!H175:H185,"Q3")</f>
        <v>0</v>
      </c>
      <c r="J44" s="173">
        <f>COUNTIF('Coverage-Detail-Infox-2010'!H175:H185,"Q4")</f>
        <v>0</v>
      </c>
      <c r="K44" s="173">
        <f t="shared" si="3"/>
        <v>9</v>
      </c>
      <c r="L44" s="173">
        <f t="shared" si="6"/>
        <v>9</v>
      </c>
      <c r="M44" s="155">
        <f t="shared" si="7"/>
        <v>90</v>
      </c>
    </row>
    <row r="45" spans="1:13" s="162" customFormat="1">
      <c r="A45" s="161"/>
      <c r="B45" s="161" t="s">
        <v>27</v>
      </c>
      <c r="C45" s="161" t="s">
        <v>633</v>
      </c>
      <c r="D45" s="161" t="s">
        <v>33</v>
      </c>
      <c r="E45" s="174">
        <f>'Coverage-Detail-Infox-2010'!A199</f>
        <v>11</v>
      </c>
      <c r="F45" s="174">
        <f>'Coverage-Detail-Infox-2010'!E199</f>
        <v>0</v>
      </c>
      <c r="G45" s="173">
        <f>COUNTIF('Coverage-Detail-Infox-2010'!H188:H198,"Q1")</f>
        <v>0</v>
      </c>
      <c r="H45" s="173">
        <f>COUNTIF('Coverage-Detail-Infox-2010'!H188:H198,"Q2")</f>
        <v>8</v>
      </c>
      <c r="I45" s="173">
        <f>COUNTIF('Coverage-Detail-Infox-2010'!H188:H198,"Q3")</f>
        <v>0</v>
      </c>
      <c r="J45" s="173">
        <f>COUNTIF('Coverage-Detail-Infox-2010'!H188:H198,"Q4")</f>
        <v>0</v>
      </c>
      <c r="K45" s="173">
        <f t="shared" si="3"/>
        <v>8</v>
      </c>
      <c r="L45" s="173">
        <f t="shared" si="6"/>
        <v>8</v>
      </c>
      <c r="M45" s="155">
        <f t="shared" si="7"/>
        <v>72.727272727272734</v>
      </c>
    </row>
    <row r="46" spans="1:13" s="162" customFormat="1">
      <c r="A46" s="161"/>
      <c r="B46" s="161" t="s">
        <v>27</v>
      </c>
      <c r="C46" s="161" t="s">
        <v>644</v>
      </c>
      <c r="D46" s="161" t="s">
        <v>33</v>
      </c>
      <c r="E46" s="174">
        <f>'Coverage-Detail-Infox-2010'!A210</f>
        <v>9</v>
      </c>
      <c r="F46" s="174">
        <f>'Coverage-Detail-Infox-2010'!E210</f>
        <v>0</v>
      </c>
      <c r="G46" s="173">
        <f>COUNTIF('Coverage-Detail-Infox-2010'!H201:H209,"Q1")</f>
        <v>0</v>
      </c>
      <c r="H46" s="173">
        <f>COUNTIF('Coverage-Detail-Infox-2010'!H201:H209,"Q2")</f>
        <v>7</v>
      </c>
      <c r="I46" s="173">
        <f>COUNTIF('Coverage-Detail-Infox-2010'!H201:H209,"Q3")</f>
        <v>0</v>
      </c>
      <c r="J46" s="173">
        <f>COUNTIF('Coverage-Detail-Infox-2010'!H201:H209,"Q4")</f>
        <v>0</v>
      </c>
      <c r="K46" s="173">
        <f t="shared" si="3"/>
        <v>7</v>
      </c>
      <c r="L46" s="173">
        <f t="shared" si="6"/>
        <v>7</v>
      </c>
      <c r="M46" s="155">
        <f t="shared" si="7"/>
        <v>77.777777777777786</v>
      </c>
    </row>
    <row r="47" spans="1:13" s="162" customFormat="1">
      <c r="A47" s="161"/>
      <c r="B47" s="161" t="s">
        <v>27</v>
      </c>
      <c r="C47" s="161" t="s">
        <v>654</v>
      </c>
      <c r="D47" s="161" t="s">
        <v>33</v>
      </c>
      <c r="E47" s="174">
        <f>'Coverage-Detail-Infox-2010'!A217</f>
        <v>5</v>
      </c>
      <c r="F47" s="174">
        <f>'Coverage-Detail-Infox-2010'!E217</f>
        <v>0</v>
      </c>
      <c r="G47" s="173">
        <f>COUNTIF('Coverage-Detail-Infox-2010'!H212:H216,"Q1")</f>
        <v>0</v>
      </c>
      <c r="H47" s="173">
        <f>COUNTIF('Coverage-Detail-Infox-2010'!H212:H216,"Q2")</f>
        <v>5</v>
      </c>
      <c r="I47" s="173">
        <f>COUNTIF('Coverage-Detail-Infox-2010'!H212:H216,"Q3")</f>
        <v>0</v>
      </c>
      <c r="J47" s="161">
        <f>COUNTIF('Coverage-Detail-Infox-2010'!H212:H216,"Q4")</f>
        <v>0</v>
      </c>
      <c r="K47" s="173">
        <f t="shared" si="3"/>
        <v>5</v>
      </c>
      <c r="L47" s="173">
        <f t="shared" si="6"/>
        <v>5</v>
      </c>
      <c r="M47" s="155">
        <f t="shared" si="7"/>
        <v>100</v>
      </c>
    </row>
    <row r="48" spans="1:13" s="162" customFormat="1">
      <c r="A48" s="161"/>
      <c r="B48" s="161" t="s">
        <v>27</v>
      </c>
      <c r="C48" s="161" t="s">
        <v>660</v>
      </c>
      <c r="D48" s="161" t="s">
        <v>33</v>
      </c>
      <c r="E48" s="174">
        <f>'Coverage-Detail-Infox-2010'!A223</f>
        <v>4</v>
      </c>
      <c r="F48" s="174">
        <f>'Coverage-Detail-Infox-2010'!E223</f>
        <v>0</v>
      </c>
      <c r="G48" s="173">
        <f>COUNTIF('Coverage-Detail-Infox-2010'!H219:H222,"Q1")</f>
        <v>0</v>
      </c>
      <c r="H48" s="173">
        <f>COUNTIF('Coverage-Detail-Infox-2010'!H219:H222,"Q2")</f>
        <v>0</v>
      </c>
      <c r="I48" s="173">
        <f>COUNTIF('Coverage-Detail-Infox-2010'!H219:H222,"Q3")</f>
        <v>0</v>
      </c>
      <c r="J48" s="161">
        <f>COUNTIF('Coverage-Detail-Infox-2010'!H219:H222,"Q4")</f>
        <v>0</v>
      </c>
      <c r="K48" s="173">
        <f t="shared" si="3"/>
        <v>0</v>
      </c>
      <c r="L48" s="173">
        <f t="shared" si="6"/>
        <v>0</v>
      </c>
      <c r="M48" s="155">
        <f t="shared" si="7"/>
        <v>0</v>
      </c>
    </row>
    <row r="49" spans="1:13" s="162" customFormat="1">
      <c r="A49" s="161"/>
      <c r="B49" s="161" t="s">
        <v>27</v>
      </c>
      <c r="C49" s="161"/>
      <c r="D49" s="161"/>
      <c r="E49" s="40"/>
      <c r="F49" s="174"/>
      <c r="G49" s="161"/>
      <c r="H49" s="161"/>
      <c r="I49" s="161"/>
      <c r="J49" s="161"/>
      <c r="K49" s="173">
        <f t="shared" si="3"/>
        <v>0</v>
      </c>
      <c r="L49" s="40"/>
      <c r="M49" s="155"/>
    </row>
    <row r="50" spans="1:13" ht="13.5" thickBot="1">
      <c r="A50" s="15"/>
      <c r="B50" s="15"/>
      <c r="C50" s="157" t="s">
        <v>447</v>
      </c>
      <c r="D50" s="39"/>
      <c r="E50" s="16">
        <f t="shared" ref="E50:L50" si="8">SUM(E26:E49)</f>
        <v>173</v>
      </c>
      <c r="F50" s="16">
        <f>SUM(F26:F49)</f>
        <v>2</v>
      </c>
      <c r="G50" s="16">
        <f t="shared" si="8"/>
        <v>4</v>
      </c>
      <c r="H50" s="16">
        <f t="shared" si="8"/>
        <v>71</v>
      </c>
      <c r="I50" s="16">
        <f t="shared" si="8"/>
        <v>0</v>
      </c>
      <c r="J50" s="16">
        <f t="shared" si="8"/>
        <v>0</v>
      </c>
      <c r="K50" s="16">
        <f t="shared" si="8"/>
        <v>75</v>
      </c>
      <c r="L50" s="16">
        <f t="shared" si="8"/>
        <v>75</v>
      </c>
      <c r="M50" s="155"/>
    </row>
    <row r="51" spans="1:13" ht="13.5" thickTop="1">
      <c r="A51" s="15"/>
      <c r="B51" s="15"/>
      <c r="C51" s="15"/>
      <c r="D51" s="15"/>
      <c r="E51" s="14"/>
      <c r="F51" s="14"/>
      <c r="G51" s="15"/>
      <c r="H51" s="2"/>
      <c r="I51" s="2"/>
      <c r="J51" s="2"/>
      <c r="K51" s="2"/>
      <c r="L51" s="9"/>
      <c r="M51" s="156"/>
    </row>
    <row r="52" spans="1:13">
      <c r="A52" s="15"/>
      <c r="B52" s="15"/>
      <c r="C52" s="15"/>
      <c r="D52" s="15"/>
      <c r="E52" s="14"/>
      <c r="F52" s="14"/>
      <c r="G52" s="15"/>
      <c r="H52" s="2"/>
      <c r="I52" s="2"/>
      <c r="J52" s="2"/>
      <c r="K52" s="2"/>
      <c r="L52" s="9"/>
      <c r="M52" s="156"/>
    </row>
    <row r="53" spans="1:13">
      <c r="A53" s="15"/>
      <c r="B53" s="15"/>
      <c r="C53" s="15"/>
      <c r="D53" s="15"/>
      <c r="E53" s="14"/>
      <c r="F53" s="14"/>
      <c r="G53" s="15"/>
      <c r="H53" s="2"/>
      <c r="I53" s="2"/>
      <c r="J53" s="2"/>
      <c r="K53" s="2"/>
      <c r="L53" s="9"/>
      <c r="M53" s="156"/>
    </row>
    <row r="54" spans="1:13">
      <c r="A54" s="15"/>
      <c r="B54" s="15"/>
      <c r="C54" s="15"/>
      <c r="D54" s="15"/>
      <c r="E54" s="14"/>
      <c r="F54" s="14"/>
      <c r="G54" s="15"/>
      <c r="H54" s="2"/>
      <c r="I54" s="2"/>
      <c r="J54" s="2"/>
      <c r="K54" s="2"/>
      <c r="L54" s="9"/>
      <c r="M54" s="156"/>
    </row>
    <row r="55" spans="1:13" ht="13.5" thickBot="1">
      <c r="C55" s="157" t="s">
        <v>448</v>
      </c>
      <c r="E55" s="16">
        <f t="shared" ref="E55:L55" si="9">SUM(E25+E50)</f>
        <v>458</v>
      </c>
      <c r="F55" s="16">
        <f t="shared" si="9"/>
        <v>2</v>
      </c>
      <c r="G55" s="16">
        <f t="shared" si="9"/>
        <v>25</v>
      </c>
      <c r="H55" s="16">
        <f t="shared" si="9"/>
        <v>71</v>
      </c>
      <c r="I55" s="16">
        <f t="shared" si="9"/>
        <v>0</v>
      </c>
      <c r="J55" s="16">
        <f t="shared" si="9"/>
        <v>0</v>
      </c>
      <c r="K55" s="16">
        <f t="shared" si="9"/>
        <v>96</v>
      </c>
      <c r="L55" s="16">
        <f t="shared" si="9"/>
        <v>328</v>
      </c>
    </row>
    <row r="56" spans="1:13" ht="13.5" thickTop="1"/>
    <row r="57" spans="1:13">
      <c r="E57" s="6"/>
      <c r="F57" s="6"/>
      <c r="H57" s="37" t="s">
        <v>32</v>
      </c>
      <c r="L57" s="6"/>
    </row>
    <row r="58" spans="1:13">
      <c r="C58" s="159" t="s">
        <v>455</v>
      </c>
      <c r="D58" s="159" t="s">
        <v>33</v>
      </c>
      <c r="E58" s="215">
        <f t="shared" ref="E58:L58" si="10">SUM(E2:E19,E38:E48)</f>
        <v>368</v>
      </c>
      <c r="F58" s="215">
        <f t="shared" si="10"/>
        <v>1</v>
      </c>
      <c r="G58" s="272">
        <f>SUM('Coverage-Detail-ProJcl-2010'!A350,'Coverage-Detail-Infox-2010'!A233)</f>
        <v>24</v>
      </c>
      <c r="H58" s="215">
        <f>SUM('Coverage-Detail-ProJcl-2010'!A351,'Coverage-Detail-Infox-2010'!A234)</f>
        <v>62</v>
      </c>
      <c r="I58" s="215">
        <f>SUM('Coverage-Detail-ProJcl-2010'!A352,'Coverage-Detail-Infox-2010'!A235)</f>
        <v>0</v>
      </c>
      <c r="J58" s="215">
        <f>SUM('Coverage-Detail-ProJcl-2010'!A353,'Coverage-Detail-Infox-2010'!A236)</f>
        <v>0</v>
      </c>
      <c r="K58" s="215">
        <f t="shared" si="10"/>
        <v>86</v>
      </c>
      <c r="L58" s="215">
        <f t="shared" si="10"/>
        <v>318</v>
      </c>
    </row>
    <row r="59" spans="1:13">
      <c r="C59" s="159"/>
      <c r="D59" s="159" t="s">
        <v>28</v>
      </c>
      <c r="E59" s="215">
        <f t="shared" ref="E59:L59" si="11">SUM(E20:E24)</f>
        <v>0</v>
      </c>
      <c r="F59" s="215">
        <f t="shared" si="11"/>
        <v>0</v>
      </c>
      <c r="G59" s="215">
        <f>SUM('Coverage-Detail-ProJcl-2010'!A360,'Coverage-Detail-Infox-2010'!A243)</f>
        <v>0</v>
      </c>
      <c r="H59" s="215">
        <f>SUM('Coverage-Detail-ProJcl-2010'!A361,'Coverage-Detail-Infox-2010'!A244)</f>
        <v>0</v>
      </c>
      <c r="I59" s="215">
        <f>SUM('Coverage-Detail-ProJcl-2010'!A362,'Coverage-Detail-Infox-2010'!A245)</f>
        <v>0</v>
      </c>
      <c r="J59" s="215">
        <f>SUM('Coverage-Detail-ProJcl-2010'!A363,'Coverage-Detail-Infox-2010'!A246)</f>
        <v>0</v>
      </c>
      <c r="K59" s="215">
        <f t="shared" si="11"/>
        <v>0</v>
      </c>
      <c r="L59" s="215">
        <f t="shared" si="11"/>
        <v>0</v>
      </c>
    </row>
    <row r="60" spans="1:13">
      <c r="D60" s="159" t="s">
        <v>31</v>
      </c>
      <c r="E60" s="215">
        <f>SUM(E26:E37)</f>
        <v>90</v>
      </c>
      <c r="F60" s="215">
        <f t="shared" ref="F60:L60" si="12">SUM(F26:F37)</f>
        <v>1</v>
      </c>
      <c r="G60" s="272">
        <f>SUM('Coverage-Detail-ProJcl-2010'!A355,'Coverage-Detail-Infox-2010'!A238)</f>
        <v>1</v>
      </c>
      <c r="H60" s="215">
        <f>SUM('Coverage-Detail-ProJcl-2010'!A356,'Coverage-Detail-Infox-2010'!A239)</f>
        <v>11</v>
      </c>
      <c r="I60" s="215">
        <f>SUM('Coverage-Detail-ProJcl-2010'!A357,'Coverage-Detail-Infox-2010'!A240)</f>
        <v>0</v>
      </c>
      <c r="J60" s="215">
        <f>SUM('Coverage-Detail-ProJcl-2010'!A358,'Coverage-Detail-Infox-2010'!A241)</f>
        <v>0</v>
      </c>
      <c r="K60" s="215">
        <f t="shared" si="12"/>
        <v>10</v>
      </c>
      <c r="L60" s="215">
        <f t="shared" si="12"/>
        <v>10</v>
      </c>
    </row>
    <row r="61" spans="1:13">
      <c r="D61" s="159"/>
      <c r="G61" s="172" t="s">
        <v>32</v>
      </c>
    </row>
  </sheetData>
  <sheetProtection password="EAE5" sheet="1" objects="1" scenarios="1"/>
  <pageMargins left="0.3" right="0.2" top="0.75" bottom="0.75" header="0.3" footer="0.3"/>
  <pageSetup scale="75" orientation="landscape" r:id="rId1"/>
  <headerFooter>
    <oddHeader>&amp;C&amp;"Arial,Bold"&amp;12&amp;A</oddHeader>
    <oddFooter>&amp;R&amp;D</oddFooter>
  </headerFooter>
  <colBreaks count="1" manualBreakCount="1">
    <brk id="13" max="1048575" man="1"/>
  </colBreaks>
  <ignoredErrors>
    <ignoredError sqref="K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63"/>
  <sheetViews>
    <sheetView workbookViewId="0">
      <pane ySplit="2" topLeftCell="A153" activePane="bottomLeft" state="frozen"/>
      <selection pane="bottomLeft" activeCell="J26" sqref="J26"/>
    </sheetView>
  </sheetViews>
  <sheetFormatPr defaultRowHeight="12.75"/>
  <cols>
    <col min="1" max="1" width="13" style="87" bestFit="1" customWidth="1"/>
    <col min="2" max="2" width="23.5703125" style="88" bestFit="1" customWidth="1"/>
    <col min="3" max="3" width="36.85546875" style="87" customWidth="1"/>
    <col min="4" max="4" width="15.28515625" style="88" customWidth="1"/>
    <col min="5" max="5" width="9.140625" style="88"/>
    <col min="6" max="6" width="10.5703125" style="88" bestFit="1" customWidth="1"/>
    <col min="7" max="7" width="12.85546875" style="88" customWidth="1"/>
    <col min="8" max="8" width="11.7109375" style="178" bestFit="1" customWidth="1"/>
    <col min="9" max="9" width="12.85546875" style="178" customWidth="1"/>
    <col min="10" max="10" width="55.5703125" style="87" customWidth="1"/>
    <col min="11" max="11" width="13.7109375" style="88" customWidth="1"/>
    <col min="12" max="12" width="9.140625" style="88"/>
    <col min="13" max="13" width="9.28515625" style="88" bestFit="1" customWidth="1"/>
    <col min="14" max="14" width="9.140625" style="88"/>
    <col min="15" max="15" width="40.5703125" style="87" customWidth="1"/>
    <col min="16" max="16384" width="9.140625" style="87"/>
  </cols>
  <sheetData>
    <row r="1" spans="1:15">
      <c r="C1" s="89"/>
      <c r="D1" s="90" t="s">
        <v>59</v>
      </c>
      <c r="E1" s="179" t="s">
        <v>682</v>
      </c>
      <c r="F1" s="90"/>
      <c r="G1" s="90"/>
      <c r="H1" s="179"/>
      <c r="I1" s="179"/>
      <c r="J1" s="89"/>
      <c r="K1" s="90" t="s">
        <v>61</v>
      </c>
      <c r="L1" s="90" t="s">
        <v>60</v>
      </c>
      <c r="M1" s="90"/>
      <c r="N1" s="90" t="s">
        <v>32</v>
      </c>
      <c r="O1" s="89"/>
    </row>
    <row r="2" spans="1:15">
      <c r="A2" s="87" t="s">
        <v>62</v>
      </c>
      <c r="C2" s="90" t="s">
        <v>63</v>
      </c>
      <c r="D2" s="90" t="s">
        <v>64</v>
      </c>
      <c r="E2" s="179" t="s">
        <v>60</v>
      </c>
      <c r="F2" s="90" t="s">
        <v>66</v>
      </c>
      <c r="G2" s="90" t="s">
        <v>67</v>
      </c>
      <c r="H2" s="179" t="s">
        <v>673</v>
      </c>
      <c r="I2" s="179" t="s">
        <v>720</v>
      </c>
      <c r="J2" s="179" t="s">
        <v>466</v>
      </c>
      <c r="K2" s="90" t="s">
        <v>69</v>
      </c>
      <c r="L2" s="90" t="s">
        <v>65</v>
      </c>
      <c r="M2" s="90" t="s">
        <v>66</v>
      </c>
      <c r="N2" s="90" t="s">
        <v>67</v>
      </c>
      <c r="O2" s="90" t="s">
        <v>68</v>
      </c>
    </row>
    <row r="3" spans="1:15">
      <c r="C3" s="63"/>
      <c r="D3" s="91"/>
      <c r="E3" s="91"/>
      <c r="F3" s="91"/>
      <c r="G3" s="91"/>
      <c r="H3" s="180"/>
      <c r="I3" s="180"/>
      <c r="J3" s="92"/>
      <c r="K3" s="91"/>
      <c r="L3" s="91"/>
      <c r="M3" s="91"/>
      <c r="N3" s="91"/>
      <c r="O3" s="92"/>
    </row>
    <row r="4" spans="1:15">
      <c r="B4" s="93" t="s">
        <v>70</v>
      </c>
      <c r="C4" s="83"/>
    </row>
    <row r="5" spans="1:15">
      <c r="C5" s="56" t="s">
        <v>71</v>
      </c>
      <c r="D5" s="88" t="s">
        <v>72</v>
      </c>
      <c r="F5" s="94">
        <v>39822</v>
      </c>
      <c r="G5" s="88" t="s">
        <v>73</v>
      </c>
      <c r="H5" s="178" t="s">
        <v>32</v>
      </c>
      <c r="I5" s="178" t="s">
        <v>32</v>
      </c>
      <c r="J5" s="95"/>
      <c r="M5" s="94"/>
    </row>
    <row r="6" spans="1:15">
      <c r="C6" s="56" t="s">
        <v>74</v>
      </c>
      <c r="F6" s="94">
        <v>39846</v>
      </c>
      <c r="G6" s="88" t="s">
        <v>73</v>
      </c>
      <c r="H6" s="178" t="s">
        <v>32</v>
      </c>
      <c r="I6" s="178" t="s">
        <v>32</v>
      </c>
      <c r="J6" s="87" t="s">
        <v>76</v>
      </c>
      <c r="M6" s="94"/>
    </row>
    <row r="7" spans="1:15">
      <c r="C7" s="56" t="s">
        <v>77</v>
      </c>
      <c r="D7" s="88" t="s">
        <v>72</v>
      </c>
      <c r="F7" s="94">
        <v>40046</v>
      </c>
      <c r="G7" s="88" t="s">
        <v>78</v>
      </c>
      <c r="J7" s="87" t="s">
        <v>79</v>
      </c>
      <c r="M7" s="94"/>
    </row>
    <row r="8" spans="1:15" ht="25.5">
      <c r="C8" s="56" t="s">
        <v>80</v>
      </c>
      <c r="D8" s="88" t="s">
        <v>72</v>
      </c>
      <c r="F8" s="94">
        <v>40044</v>
      </c>
      <c r="G8" s="88" t="s">
        <v>73</v>
      </c>
      <c r="H8" s="178" t="s">
        <v>32</v>
      </c>
      <c r="J8" s="96" t="s">
        <v>81</v>
      </c>
      <c r="M8" s="94"/>
    </row>
    <row r="9" spans="1:15">
      <c r="C9" s="56" t="s">
        <v>82</v>
      </c>
      <c r="D9" s="88" t="s">
        <v>72</v>
      </c>
      <c r="F9" s="94">
        <v>40045</v>
      </c>
      <c r="G9" s="88" t="s">
        <v>78</v>
      </c>
      <c r="M9" s="94"/>
    </row>
    <row r="10" spans="1:15">
      <c r="C10" s="56" t="s">
        <v>83</v>
      </c>
      <c r="D10" s="88" t="s">
        <v>72</v>
      </c>
      <c r="F10" s="94">
        <v>40046</v>
      </c>
      <c r="G10" s="88" t="s">
        <v>78</v>
      </c>
    </row>
    <row r="11" spans="1:15">
      <c r="C11" s="56" t="s">
        <v>84</v>
      </c>
      <c r="D11" s="88" t="s">
        <v>72</v>
      </c>
      <c r="F11" s="94">
        <v>40049</v>
      </c>
      <c r="G11" s="88" t="s">
        <v>78</v>
      </c>
    </row>
    <row r="12" spans="1:15">
      <c r="A12" s="82">
        <f>COUNTA(C5:C11)</f>
        <v>7</v>
      </c>
      <c r="E12" s="88">
        <f>COUNTIF(E5:E11,"Y")</f>
        <v>0</v>
      </c>
    </row>
    <row r="13" spans="1:15">
      <c r="C13" s="58"/>
    </row>
    <row r="14" spans="1:15">
      <c r="B14" s="93" t="s">
        <v>85</v>
      </c>
      <c r="C14" s="83"/>
    </row>
    <row r="15" spans="1:15" ht="25.5">
      <c r="C15" s="56" t="s">
        <v>86</v>
      </c>
      <c r="D15" s="88" t="s">
        <v>72</v>
      </c>
      <c r="F15" s="94">
        <v>39937</v>
      </c>
      <c r="G15" s="88" t="s">
        <v>78</v>
      </c>
      <c r="J15" s="273" t="s">
        <v>87</v>
      </c>
    </row>
    <row r="16" spans="1:15">
      <c r="C16" s="56" t="s">
        <v>88</v>
      </c>
      <c r="D16" s="88" t="s">
        <v>72</v>
      </c>
      <c r="F16" s="94">
        <v>40049</v>
      </c>
      <c r="G16" s="88" t="s">
        <v>78</v>
      </c>
    </row>
    <row r="17" spans="1:14">
      <c r="C17" s="56" t="s">
        <v>89</v>
      </c>
      <c r="D17" s="88" t="s">
        <v>72</v>
      </c>
      <c r="F17" s="94">
        <v>39938</v>
      </c>
      <c r="G17" s="88" t="s">
        <v>78</v>
      </c>
      <c r="J17" s="97" t="s">
        <v>32</v>
      </c>
    </row>
    <row r="18" spans="1:14">
      <c r="C18" s="56" t="s">
        <v>90</v>
      </c>
      <c r="D18" s="88" t="s">
        <v>72</v>
      </c>
      <c r="F18" s="94">
        <v>39953</v>
      </c>
      <c r="G18" s="88" t="s">
        <v>78</v>
      </c>
    </row>
    <row r="19" spans="1:14">
      <c r="C19" s="56" t="s">
        <v>91</v>
      </c>
      <c r="D19" s="88" t="s">
        <v>72</v>
      </c>
      <c r="F19" s="94">
        <v>39953</v>
      </c>
      <c r="G19" s="88" t="s">
        <v>78</v>
      </c>
    </row>
    <row r="20" spans="1:14">
      <c r="C20" s="56" t="s">
        <v>92</v>
      </c>
      <c r="D20" s="88" t="s">
        <v>72</v>
      </c>
      <c r="F20" s="94">
        <v>39938</v>
      </c>
      <c r="G20" s="88" t="s">
        <v>78</v>
      </c>
    </row>
    <row r="21" spans="1:14">
      <c r="A21" s="82">
        <f>COUNTA(C15:C21)</f>
        <v>6</v>
      </c>
      <c r="E21" s="178"/>
    </row>
    <row r="22" spans="1:14">
      <c r="C22" s="58"/>
    </row>
    <row r="23" spans="1:14">
      <c r="B23" s="151" t="s">
        <v>93</v>
      </c>
      <c r="C23" s="83"/>
    </row>
    <row r="24" spans="1:14">
      <c r="C24" s="56" t="s">
        <v>94</v>
      </c>
      <c r="D24" s="88" t="s">
        <v>72</v>
      </c>
      <c r="F24" s="94">
        <v>39961</v>
      </c>
      <c r="G24" s="88" t="s">
        <v>78</v>
      </c>
    </row>
    <row r="25" spans="1:14">
      <c r="C25" s="56" t="s">
        <v>95</v>
      </c>
      <c r="D25" s="88" t="s">
        <v>72</v>
      </c>
      <c r="F25" s="94">
        <v>39961</v>
      </c>
      <c r="G25" s="88" t="s">
        <v>78</v>
      </c>
    </row>
    <row r="26" spans="1:14" ht="25.5">
      <c r="C26" s="56" t="s">
        <v>96</v>
      </c>
      <c r="D26" s="88" t="s">
        <v>72</v>
      </c>
      <c r="F26" s="94">
        <v>39961</v>
      </c>
      <c r="G26" s="88" t="s">
        <v>78</v>
      </c>
      <c r="J26" s="96" t="s">
        <v>97</v>
      </c>
    </row>
    <row r="27" spans="1:14">
      <c r="C27" s="56" t="s">
        <v>98</v>
      </c>
      <c r="D27" s="88" t="s">
        <v>72</v>
      </c>
      <c r="F27" s="94">
        <v>39965</v>
      </c>
      <c r="G27" s="88" t="s">
        <v>78</v>
      </c>
    </row>
    <row r="28" spans="1:14">
      <c r="C28" s="56" t="s">
        <v>99</v>
      </c>
      <c r="D28" s="88" t="s">
        <v>72</v>
      </c>
      <c r="F28" s="94">
        <v>39965</v>
      </c>
      <c r="G28" s="88" t="s">
        <v>78</v>
      </c>
    </row>
    <row r="29" spans="1:14">
      <c r="C29" s="56" t="s">
        <v>100</v>
      </c>
      <c r="D29" s="88" t="s">
        <v>72</v>
      </c>
      <c r="F29" s="94">
        <v>39965</v>
      </c>
      <c r="G29" s="88" t="s">
        <v>78</v>
      </c>
    </row>
    <row r="30" spans="1:14">
      <c r="C30" s="56" t="s">
        <v>101</v>
      </c>
      <c r="D30" s="88" t="s">
        <v>72</v>
      </c>
      <c r="F30" s="94">
        <v>39966</v>
      </c>
      <c r="G30" s="88" t="s">
        <v>78</v>
      </c>
      <c r="J30" s="87" t="s">
        <v>102</v>
      </c>
    </row>
    <row r="31" spans="1:14" s="98" customFormat="1">
      <c r="B31" s="99"/>
      <c r="C31" s="75" t="s">
        <v>103</v>
      </c>
      <c r="D31" s="99" t="s">
        <v>72</v>
      </c>
      <c r="E31" s="183"/>
      <c r="F31" s="100">
        <v>40126</v>
      </c>
      <c r="G31" s="99" t="s">
        <v>78</v>
      </c>
      <c r="H31" s="183"/>
      <c r="I31" s="183"/>
      <c r="J31" s="98" t="s">
        <v>104</v>
      </c>
      <c r="K31" s="99"/>
      <c r="L31" s="99"/>
      <c r="M31" s="99"/>
      <c r="N31" s="99"/>
    </row>
    <row r="32" spans="1:14" s="98" customFormat="1">
      <c r="A32" s="98">
        <f>COUNTA(C24:C31)</f>
        <v>8</v>
      </c>
      <c r="B32" s="99"/>
      <c r="C32" s="75"/>
      <c r="D32" s="99"/>
      <c r="E32" s="178">
        <f>COUNTIF(E15:E31,"Y")</f>
        <v>0</v>
      </c>
      <c r="F32" s="100"/>
      <c r="G32" s="99"/>
      <c r="H32" s="183"/>
      <c r="I32" s="183"/>
      <c r="K32" s="99"/>
      <c r="L32" s="99"/>
      <c r="M32" s="99"/>
      <c r="N32" s="99"/>
    </row>
    <row r="33" spans="2:13">
      <c r="B33" s="93" t="s">
        <v>105</v>
      </c>
      <c r="C33" s="83"/>
    </row>
    <row r="34" spans="2:13">
      <c r="C34" s="56" t="s">
        <v>106</v>
      </c>
      <c r="D34" s="88" t="s">
        <v>72</v>
      </c>
      <c r="F34" s="94">
        <v>39870</v>
      </c>
      <c r="G34" s="88" t="s">
        <v>78</v>
      </c>
    </row>
    <row r="35" spans="2:13">
      <c r="C35" s="56" t="s">
        <v>107</v>
      </c>
      <c r="D35" s="88" t="s">
        <v>72</v>
      </c>
      <c r="F35" s="94">
        <v>39842</v>
      </c>
      <c r="G35" s="88" t="s">
        <v>73</v>
      </c>
      <c r="H35" s="178" t="s">
        <v>32</v>
      </c>
      <c r="M35" s="94"/>
    </row>
    <row r="36" spans="2:13">
      <c r="C36" s="56" t="s">
        <v>108</v>
      </c>
      <c r="D36" s="88" t="s">
        <v>72</v>
      </c>
      <c r="F36" s="94">
        <v>39869</v>
      </c>
      <c r="G36" s="88" t="s">
        <v>78</v>
      </c>
    </row>
    <row r="37" spans="2:13">
      <c r="C37" s="56" t="s">
        <v>109</v>
      </c>
      <c r="D37" s="88" t="s">
        <v>72</v>
      </c>
      <c r="F37" s="94">
        <v>39869</v>
      </c>
      <c r="G37" s="88" t="s">
        <v>78</v>
      </c>
    </row>
    <row r="38" spans="2:13">
      <c r="C38" s="56" t="s">
        <v>110</v>
      </c>
      <c r="D38" s="88" t="s">
        <v>72</v>
      </c>
      <c r="F38" s="94">
        <v>39870</v>
      </c>
      <c r="G38" s="88" t="s">
        <v>78</v>
      </c>
    </row>
    <row r="39" spans="2:13">
      <c r="C39" s="56" t="s">
        <v>111</v>
      </c>
      <c r="D39" s="88" t="s">
        <v>72</v>
      </c>
      <c r="F39" s="94">
        <v>39869</v>
      </c>
      <c r="G39" s="88" t="s">
        <v>78</v>
      </c>
    </row>
    <row r="40" spans="2:13">
      <c r="C40" s="56" t="s">
        <v>112</v>
      </c>
      <c r="D40" s="88" t="s">
        <v>72</v>
      </c>
      <c r="F40" s="94">
        <v>40149</v>
      </c>
      <c r="G40" s="88" t="s">
        <v>78</v>
      </c>
    </row>
    <row r="41" spans="2:13">
      <c r="C41" s="56" t="s">
        <v>113</v>
      </c>
      <c r="D41" s="88" t="s">
        <v>72</v>
      </c>
      <c r="F41" s="94">
        <v>39871</v>
      </c>
      <c r="G41" s="88" t="s">
        <v>78</v>
      </c>
    </row>
    <row r="42" spans="2:13">
      <c r="C42" s="56" t="s">
        <v>114</v>
      </c>
      <c r="D42" s="88" t="s">
        <v>72</v>
      </c>
      <c r="F42" s="94">
        <v>40150</v>
      </c>
      <c r="G42" s="88" t="s">
        <v>78</v>
      </c>
    </row>
    <row r="43" spans="2:13">
      <c r="C43" s="56" t="s">
        <v>115</v>
      </c>
      <c r="D43" s="88" t="s">
        <v>72</v>
      </c>
      <c r="F43" s="94">
        <v>39871</v>
      </c>
      <c r="G43" s="88" t="s">
        <v>78</v>
      </c>
    </row>
    <row r="44" spans="2:13">
      <c r="C44" s="56" t="s">
        <v>116</v>
      </c>
      <c r="D44" s="88" t="s">
        <v>72</v>
      </c>
      <c r="F44" s="94">
        <v>39868</v>
      </c>
      <c r="G44" s="88" t="s">
        <v>78</v>
      </c>
    </row>
    <row r="45" spans="2:13">
      <c r="C45" s="56" t="s">
        <v>117</v>
      </c>
      <c r="D45" s="88" t="s">
        <v>72</v>
      </c>
      <c r="F45" s="94">
        <v>39868</v>
      </c>
      <c r="G45" s="88" t="s">
        <v>78</v>
      </c>
    </row>
    <row r="46" spans="2:13">
      <c r="C46" s="56" t="s">
        <v>118</v>
      </c>
      <c r="D46" s="88" t="s">
        <v>72</v>
      </c>
      <c r="F46" s="94">
        <v>40079</v>
      </c>
      <c r="G46" s="88" t="s">
        <v>78</v>
      </c>
      <c r="J46" s="87" t="s">
        <v>119</v>
      </c>
    </row>
    <row r="47" spans="2:13">
      <c r="C47" s="56" t="s">
        <v>120</v>
      </c>
      <c r="D47" s="88" t="s">
        <v>72</v>
      </c>
      <c r="F47" s="94">
        <v>39870</v>
      </c>
      <c r="G47" s="88" t="s">
        <v>78</v>
      </c>
    </row>
    <row r="48" spans="2:13">
      <c r="C48" s="56" t="s">
        <v>121</v>
      </c>
      <c r="D48" s="88" t="s">
        <v>72</v>
      </c>
      <c r="F48" s="94">
        <v>39869</v>
      </c>
      <c r="G48" s="88" t="s">
        <v>78</v>
      </c>
    </row>
    <row r="49" spans="1:14">
      <c r="C49" s="56" t="s">
        <v>122</v>
      </c>
      <c r="D49" s="88" t="s">
        <v>72</v>
      </c>
      <c r="F49" s="94">
        <v>39869</v>
      </c>
      <c r="G49" s="88" t="s">
        <v>78</v>
      </c>
    </row>
    <row r="50" spans="1:14">
      <c r="C50" s="56" t="s">
        <v>123</v>
      </c>
      <c r="D50" s="88" t="s">
        <v>72</v>
      </c>
      <c r="F50" s="94">
        <v>39874</v>
      </c>
      <c r="G50" s="88" t="s">
        <v>78</v>
      </c>
    </row>
    <row r="51" spans="1:14">
      <c r="C51" s="56" t="s">
        <v>124</v>
      </c>
      <c r="D51" s="88" t="s">
        <v>72</v>
      </c>
      <c r="F51" s="94">
        <v>39868</v>
      </c>
      <c r="G51" s="88" t="s">
        <v>78</v>
      </c>
    </row>
    <row r="52" spans="1:14">
      <c r="A52" s="82">
        <f>COUNTA(C34:C51)</f>
        <v>18</v>
      </c>
      <c r="E52" s="178"/>
    </row>
    <row r="53" spans="1:14">
      <c r="C53" s="58"/>
    </row>
    <row r="54" spans="1:14">
      <c r="B54" s="93" t="s">
        <v>125</v>
      </c>
      <c r="C54" s="83"/>
    </row>
    <row r="55" spans="1:14" s="98" customFormat="1">
      <c r="B55" s="99"/>
      <c r="C55" s="77" t="s">
        <v>126</v>
      </c>
      <c r="D55" s="99" t="s">
        <v>72</v>
      </c>
      <c r="E55" s="183" t="s">
        <v>690</v>
      </c>
      <c r="F55" s="100">
        <v>40133</v>
      </c>
      <c r="G55" s="99" t="s">
        <v>78</v>
      </c>
      <c r="H55" s="183"/>
      <c r="I55" s="183"/>
      <c r="J55" s="98" t="s">
        <v>127</v>
      </c>
      <c r="K55" s="99"/>
      <c r="L55" s="99"/>
      <c r="M55" s="99"/>
      <c r="N55" s="99"/>
    </row>
    <row r="56" spans="1:14">
      <c r="C56" s="56" t="s">
        <v>128</v>
      </c>
      <c r="D56" s="88" t="s">
        <v>72</v>
      </c>
      <c r="F56" s="94">
        <v>39865</v>
      </c>
      <c r="G56" s="88" t="s">
        <v>78</v>
      </c>
    </row>
    <row r="57" spans="1:14">
      <c r="C57" s="56" t="s">
        <v>129</v>
      </c>
      <c r="J57" s="101" t="s">
        <v>130</v>
      </c>
    </row>
    <row r="58" spans="1:14">
      <c r="C58" s="56" t="s">
        <v>131</v>
      </c>
      <c r="D58" s="88" t="s">
        <v>72</v>
      </c>
      <c r="F58" s="94">
        <v>39867</v>
      </c>
      <c r="G58" s="88" t="s">
        <v>78</v>
      </c>
      <c r="K58" s="88" t="s">
        <v>132</v>
      </c>
    </row>
    <row r="59" spans="1:14">
      <c r="C59" s="56" t="s">
        <v>133</v>
      </c>
      <c r="D59" s="88" t="s">
        <v>72</v>
      </c>
      <c r="F59" s="94">
        <v>39867</v>
      </c>
      <c r="G59" s="88" t="s">
        <v>78</v>
      </c>
      <c r="K59" s="88" t="s">
        <v>132</v>
      </c>
    </row>
    <row r="60" spans="1:14">
      <c r="C60" s="56" t="s">
        <v>134</v>
      </c>
      <c r="D60" s="88" t="s">
        <v>72</v>
      </c>
      <c r="F60" s="94">
        <v>39867</v>
      </c>
      <c r="G60" s="88" t="s">
        <v>78</v>
      </c>
      <c r="K60" s="88" t="s">
        <v>132</v>
      </c>
    </row>
    <row r="61" spans="1:14">
      <c r="C61" s="56" t="s">
        <v>135</v>
      </c>
      <c r="D61" s="88" t="s">
        <v>72</v>
      </c>
      <c r="F61" s="94">
        <v>39867</v>
      </c>
      <c r="G61" s="88" t="s">
        <v>78</v>
      </c>
      <c r="K61" s="88" t="s">
        <v>132</v>
      </c>
    </row>
    <row r="62" spans="1:14">
      <c r="C62" s="56" t="s">
        <v>136</v>
      </c>
      <c r="D62" s="88" t="s">
        <v>72</v>
      </c>
      <c r="F62" s="94">
        <v>39868</v>
      </c>
      <c r="G62" s="88" t="s">
        <v>78</v>
      </c>
      <c r="K62" s="88" t="s">
        <v>132</v>
      </c>
    </row>
    <row r="63" spans="1:14">
      <c r="C63" s="56" t="s">
        <v>137</v>
      </c>
      <c r="D63" s="88" t="s">
        <v>72</v>
      </c>
      <c r="E63" s="94"/>
      <c r="F63" s="94">
        <v>39847</v>
      </c>
      <c r="G63" s="88" t="s">
        <v>78</v>
      </c>
      <c r="K63" s="88" t="s">
        <v>132</v>
      </c>
      <c r="L63" s="94"/>
      <c r="M63" s="94"/>
    </row>
    <row r="64" spans="1:14" s="104" customFormat="1">
      <c r="B64" s="102"/>
      <c r="C64" s="64" t="s">
        <v>138</v>
      </c>
      <c r="D64" s="102" t="s">
        <v>72</v>
      </c>
      <c r="E64" s="102"/>
      <c r="F64" s="103">
        <v>39874</v>
      </c>
      <c r="G64" s="102" t="s">
        <v>78</v>
      </c>
      <c r="H64" s="185"/>
      <c r="I64" s="185"/>
      <c r="J64" s="104" t="s">
        <v>139</v>
      </c>
      <c r="K64" s="102"/>
      <c r="L64" s="102"/>
      <c r="M64" s="103"/>
      <c r="N64" s="102"/>
    </row>
    <row r="65" spans="3:13">
      <c r="C65" s="56" t="s">
        <v>140</v>
      </c>
      <c r="D65" s="88" t="s">
        <v>72</v>
      </c>
      <c r="F65" s="94">
        <v>39849</v>
      </c>
      <c r="G65" s="88" t="s">
        <v>78</v>
      </c>
      <c r="K65" s="88" t="s">
        <v>132</v>
      </c>
      <c r="M65" s="94"/>
    </row>
    <row r="66" spans="3:13">
      <c r="C66" s="56" t="s">
        <v>141</v>
      </c>
      <c r="D66" s="88" t="s">
        <v>72</v>
      </c>
      <c r="F66" s="94">
        <v>39853</v>
      </c>
      <c r="G66" s="88" t="s">
        <v>78</v>
      </c>
      <c r="K66" s="88" t="s">
        <v>132</v>
      </c>
      <c r="M66" s="94"/>
    </row>
    <row r="67" spans="3:13">
      <c r="C67" s="56" t="s">
        <v>142</v>
      </c>
      <c r="D67" s="88" t="s">
        <v>72</v>
      </c>
      <c r="F67" s="94">
        <v>39854</v>
      </c>
      <c r="G67" s="88" t="s">
        <v>78</v>
      </c>
      <c r="K67" s="88" t="s">
        <v>132</v>
      </c>
      <c r="M67" s="94"/>
    </row>
    <row r="68" spans="3:13">
      <c r="C68" s="56" t="s">
        <v>143</v>
      </c>
      <c r="D68" s="88" t="s">
        <v>72</v>
      </c>
      <c r="F68" s="94">
        <v>39855</v>
      </c>
      <c r="G68" s="88" t="s">
        <v>78</v>
      </c>
      <c r="K68" s="88" t="s">
        <v>132</v>
      </c>
      <c r="M68" s="94"/>
    </row>
    <row r="69" spans="3:13">
      <c r="C69" s="56" t="s">
        <v>144</v>
      </c>
      <c r="D69" s="88" t="s">
        <v>72</v>
      </c>
      <c r="F69" s="94">
        <v>39855</v>
      </c>
      <c r="G69" s="88" t="s">
        <v>78</v>
      </c>
      <c r="K69" s="88" t="s">
        <v>132</v>
      </c>
      <c r="M69" s="94"/>
    </row>
    <row r="70" spans="3:13">
      <c r="C70" s="56" t="s">
        <v>145</v>
      </c>
      <c r="D70" s="88" t="s">
        <v>72</v>
      </c>
      <c r="F70" s="94">
        <v>39855</v>
      </c>
      <c r="G70" s="88" t="s">
        <v>78</v>
      </c>
      <c r="K70" s="88" t="s">
        <v>132</v>
      </c>
      <c r="M70" s="94"/>
    </row>
    <row r="71" spans="3:13">
      <c r="C71" s="56" t="s">
        <v>146</v>
      </c>
      <c r="D71" s="88" t="s">
        <v>72</v>
      </c>
      <c r="F71" s="88" t="s">
        <v>147</v>
      </c>
      <c r="G71" s="88" t="s">
        <v>78</v>
      </c>
      <c r="J71" s="87" t="s">
        <v>148</v>
      </c>
      <c r="K71" s="88" t="s">
        <v>132</v>
      </c>
    </row>
    <row r="72" spans="3:13">
      <c r="C72" s="56" t="s">
        <v>149</v>
      </c>
      <c r="D72" s="88" t="s">
        <v>72</v>
      </c>
      <c r="F72" s="94">
        <v>39856</v>
      </c>
      <c r="G72" s="88" t="s">
        <v>78</v>
      </c>
      <c r="K72" s="88" t="s">
        <v>132</v>
      </c>
      <c r="M72" s="94"/>
    </row>
    <row r="73" spans="3:13">
      <c r="C73" s="56" t="s">
        <v>150</v>
      </c>
      <c r="D73" s="88" t="s">
        <v>72</v>
      </c>
      <c r="F73" s="94">
        <v>39863</v>
      </c>
      <c r="G73" s="88" t="s">
        <v>78</v>
      </c>
      <c r="K73" s="88" t="s">
        <v>132</v>
      </c>
    </row>
    <row r="74" spans="3:13">
      <c r="C74" s="56" t="s">
        <v>151</v>
      </c>
      <c r="D74" s="88" t="s">
        <v>72</v>
      </c>
      <c r="F74" s="94">
        <v>39864</v>
      </c>
      <c r="G74" s="88" t="s">
        <v>78</v>
      </c>
      <c r="K74" s="88" t="s">
        <v>132</v>
      </c>
    </row>
    <row r="75" spans="3:13">
      <c r="C75" s="56" t="s">
        <v>152</v>
      </c>
      <c r="D75" s="88" t="s">
        <v>72</v>
      </c>
      <c r="F75" s="94">
        <v>39864</v>
      </c>
      <c r="G75" s="88" t="s">
        <v>78</v>
      </c>
      <c r="K75" s="88" t="s">
        <v>132</v>
      </c>
    </row>
    <row r="76" spans="3:13">
      <c r="C76" s="56" t="s">
        <v>153</v>
      </c>
      <c r="D76" s="88" t="s">
        <v>72</v>
      </c>
      <c r="F76" s="94">
        <v>39864</v>
      </c>
      <c r="G76" s="88" t="s">
        <v>78</v>
      </c>
      <c r="K76" s="88" t="s">
        <v>132</v>
      </c>
    </row>
    <row r="77" spans="3:13">
      <c r="C77" s="56" t="s">
        <v>154</v>
      </c>
      <c r="D77" s="88" t="s">
        <v>72</v>
      </c>
      <c r="F77" s="94">
        <v>39867</v>
      </c>
      <c r="G77" s="88" t="s">
        <v>78</v>
      </c>
      <c r="K77" s="88" t="s">
        <v>132</v>
      </c>
    </row>
    <row r="78" spans="3:13">
      <c r="C78" s="56" t="s">
        <v>155</v>
      </c>
      <c r="D78" s="88" t="s">
        <v>72</v>
      </c>
      <c r="F78" s="94">
        <v>39867</v>
      </c>
      <c r="G78" s="88" t="s">
        <v>78</v>
      </c>
      <c r="K78" s="88" t="s">
        <v>132</v>
      </c>
    </row>
    <row r="79" spans="3:13">
      <c r="C79" s="56" t="s">
        <v>156</v>
      </c>
      <c r="D79" s="88" t="s">
        <v>72</v>
      </c>
      <c r="F79" s="94">
        <v>39867</v>
      </c>
      <c r="G79" s="88" t="s">
        <v>78</v>
      </c>
      <c r="K79" s="88" t="s">
        <v>132</v>
      </c>
    </row>
    <row r="80" spans="3:13">
      <c r="C80" s="56" t="s">
        <v>157</v>
      </c>
      <c r="D80" s="88" t="s">
        <v>72</v>
      </c>
      <c r="F80" s="94">
        <v>40205</v>
      </c>
      <c r="G80" s="88" t="s">
        <v>78</v>
      </c>
      <c r="H80" s="178" t="s">
        <v>15</v>
      </c>
      <c r="I80" s="178" t="s">
        <v>707</v>
      </c>
      <c r="K80" s="88" t="s">
        <v>32</v>
      </c>
    </row>
    <row r="81" spans="1:14">
      <c r="C81" s="56" t="s">
        <v>158</v>
      </c>
      <c r="D81" s="88" t="s">
        <v>72</v>
      </c>
      <c r="F81" s="94">
        <v>39867</v>
      </c>
      <c r="G81" s="88" t="s">
        <v>78</v>
      </c>
      <c r="K81" s="88" t="s">
        <v>132</v>
      </c>
    </row>
    <row r="82" spans="1:14">
      <c r="C82" s="56" t="s">
        <v>159</v>
      </c>
      <c r="D82" s="88" t="s">
        <v>72</v>
      </c>
      <c r="F82" s="94">
        <v>39867</v>
      </c>
      <c r="G82" s="88" t="s">
        <v>78</v>
      </c>
      <c r="K82" s="88" t="s">
        <v>132</v>
      </c>
    </row>
    <row r="83" spans="1:14">
      <c r="C83" s="56" t="s">
        <v>160</v>
      </c>
      <c r="D83" s="88" t="s">
        <v>72</v>
      </c>
      <c r="F83" s="94">
        <v>39867</v>
      </c>
      <c r="G83" s="88" t="s">
        <v>78</v>
      </c>
      <c r="K83" s="88" t="s">
        <v>132</v>
      </c>
    </row>
    <row r="84" spans="1:14">
      <c r="C84" s="56" t="s">
        <v>161</v>
      </c>
      <c r="D84" s="88" t="s">
        <v>72</v>
      </c>
      <c r="F84" s="94">
        <v>39867</v>
      </c>
      <c r="G84" s="88" t="s">
        <v>78</v>
      </c>
      <c r="K84" s="88" t="s">
        <v>132</v>
      </c>
    </row>
    <row r="85" spans="1:14">
      <c r="C85" s="56" t="s">
        <v>162</v>
      </c>
      <c r="D85" s="88" t="s">
        <v>72</v>
      </c>
      <c r="F85" s="94">
        <v>39868</v>
      </c>
      <c r="G85" s="88" t="s">
        <v>78</v>
      </c>
      <c r="K85" s="88" t="s">
        <v>132</v>
      </c>
    </row>
    <row r="86" spans="1:14">
      <c r="C86" s="56" t="s">
        <v>163</v>
      </c>
      <c r="D86" s="88" t="s">
        <v>72</v>
      </c>
      <c r="F86" s="94">
        <v>39868</v>
      </c>
      <c r="G86" s="88" t="s">
        <v>78</v>
      </c>
      <c r="K86" s="88" t="s">
        <v>132</v>
      </c>
    </row>
    <row r="87" spans="1:14">
      <c r="A87" s="82">
        <f>COUNTA(C55:C86)</f>
        <v>32</v>
      </c>
      <c r="E87" s="178">
        <f>COUNTIF(E34:E86,"Y")</f>
        <v>0</v>
      </c>
    </row>
    <row r="88" spans="1:14">
      <c r="C88" s="58"/>
    </row>
    <row r="89" spans="1:14">
      <c r="B89" s="93" t="s">
        <v>164</v>
      </c>
      <c r="C89" s="83"/>
    </row>
    <row r="90" spans="1:14">
      <c r="C90" s="56" t="s">
        <v>165</v>
      </c>
      <c r="D90" s="88" t="s">
        <v>72</v>
      </c>
      <c r="F90" s="94">
        <v>40206</v>
      </c>
      <c r="G90" s="88" t="s">
        <v>78</v>
      </c>
      <c r="H90" s="178" t="s">
        <v>15</v>
      </c>
      <c r="I90" s="178" t="s">
        <v>707</v>
      </c>
    </row>
    <row r="91" spans="1:14" s="105" customFormat="1">
      <c r="B91" s="106"/>
      <c r="C91" s="65" t="s">
        <v>166</v>
      </c>
      <c r="D91" s="106" t="s">
        <v>72</v>
      </c>
      <c r="E91" s="106"/>
      <c r="F91" s="107">
        <v>40058</v>
      </c>
      <c r="G91" s="106" t="s">
        <v>78</v>
      </c>
      <c r="H91" s="186"/>
      <c r="I91" s="186"/>
      <c r="J91" s="105" t="s">
        <v>32</v>
      </c>
      <c r="K91" s="106"/>
      <c r="L91" s="106"/>
      <c r="M91" s="106"/>
      <c r="N91" s="106"/>
    </row>
    <row r="92" spans="1:14" s="108" customFormat="1">
      <c r="B92" s="109"/>
      <c r="C92" s="79" t="s">
        <v>167</v>
      </c>
      <c r="D92" s="109" t="s">
        <v>75</v>
      </c>
      <c r="E92" s="109"/>
      <c r="F92" s="110">
        <v>40205</v>
      </c>
      <c r="G92" s="109" t="s">
        <v>78</v>
      </c>
      <c r="H92" s="187"/>
      <c r="I92" s="187"/>
      <c r="K92" s="109"/>
      <c r="L92" s="109"/>
      <c r="M92" s="109"/>
      <c r="N92" s="109"/>
    </row>
    <row r="93" spans="1:14">
      <c r="C93" s="56" t="s">
        <v>168</v>
      </c>
      <c r="D93" s="88" t="s">
        <v>72</v>
      </c>
      <c r="F93" s="94">
        <v>39994</v>
      </c>
      <c r="G93" s="88" t="s">
        <v>78</v>
      </c>
    </row>
    <row r="94" spans="1:14">
      <c r="C94" s="56" t="s">
        <v>169</v>
      </c>
      <c r="D94" s="88" t="s">
        <v>72</v>
      </c>
      <c r="F94" s="94">
        <v>39995</v>
      </c>
      <c r="G94" s="88" t="s">
        <v>78</v>
      </c>
    </row>
    <row r="95" spans="1:14">
      <c r="C95" s="56" t="s">
        <v>170</v>
      </c>
      <c r="D95" s="88" t="s">
        <v>72</v>
      </c>
      <c r="F95" s="94">
        <v>40000</v>
      </c>
      <c r="G95" s="88" t="s">
        <v>78</v>
      </c>
    </row>
    <row r="96" spans="1:14">
      <c r="C96" s="56" t="s">
        <v>171</v>
      </c>
      <c r="D96" s="88" t="s">
        <v>72</v>
      </c>
      <c r="F96" s="94">
        <v>40001</v>
      </c>
      <c r="G96" s="88" t="s">
        <v>78</v>
      </c>
    </row>
    <row r="97" spans="1:14" s="111" customFormat="1">
      <c r="B97" s="112"/>
      <c r="C97" s="80" t="s">
        <v>172</v>
      </c>
      <c r="D97" s="112" t="s">
        <v>72</v>
      </c>
      <c r="E97" s="112"/>
      <c r="F97" s="113">
        <v>40206</v>
      </c>
      <c r="G97" s="112" t="s">
        <v>78</v>
      </c>
      <c r="H97" s="188" t="s">
        <v>15</v>
      </c>
      <c r="I97" s="188" t="s">
        <v>707</v>
      </c>
      <c r="J97" s="111" t="s">
        <v>173</v>
      </c>
      <c r="K97" s="112"/>
      <c r="L97" s="112"/>
      <c r="M97" s="112"/>
      <c r="N97" s="112"/>
    </row>
    <row r="98" spans="1:14">
      <c r="C98" s="56" t="s">
        <v>174</v>
      </c>
      <c r="D98" s="88" t="s">
        <v>72</v>
      </c>
      <c r="F98" s="94">
        <v>39993</v>
      </c>
      <c r="G98" s="88" t="s">
        <v>78</v>
      </c>
    </row>
    <row r="99" spans="1:14">
      <c r="C99" s="56" t="s">
        <v>175</v>
      </c>
      <c r="D99" s="88" t="s">
        <v>72</v>
      </c>
      <c r="F99" s="94">
        <v>39993</v>
      </c>
      <c r="G99" s="88" t="s">
        <v>78</v>
      </c>
    </row>
    <row r="100" spans="1:14">
      <c r="C100" s="56" t="s">
        <v>176</v>
      </c>
      <c r="D100" s="88" t="s">
        <v>72</v>
      </c>
      <c r="F100" s="94">
        <v>39995</v>
      </c>
      <c r="G100" s="88" t="s">
        <v>78</v>
      </c>
    </row>
    <row r="101" spans="1:14">
      <c r="C101" s="56" t="s">
        <v>177</v>
      </c>
    </row>
    <row r="102" spans="1:14">
      <c r="C102" s="56" t="s">
        <v>178</v>
      </c>
      <c r="D102" s="88" t="s">
        <v>72</v>
      </c>
      <c r="F102" s="94">
        <v>40234</v>
      </c>
      <c r="G102" s="88" t="s">
        <v>78</v>
      </c>
      <c r="H102" s="178" t="s">
        <v>15</v>
      </c>
      <c r="I102" s="178" t="s">
        <v>707</v>
      </c>
    </row>
    <row r="103" spans="1:14">
      <c r="C103" s="56" t="s">
        <v>179</v>
      </c>
      <c r="D103" s="88" t="s">
        <v>72</v>
      </c>
      <c r="F103" s="94">
        <v>40245</v>
      </c>
      <c r="G103" s="88" t="s">
        <v>78</v>
      </c>
      <c r="H103" s="178" t="s">
        <v>15</v>
      </c>
      <c r="I103" s="178" t="s">
        <v>707</v>
      </c>
    </row>
    <row r="104" spans="1:14">
      <c r="C104" s="56" t="s">
        <v>180</v>
      </c>
      <c r="D104" s="88" t="s">
        <v>72</v>
      </c>
      <c r="F104" s="94">
        <v>39988</v>
      </c>
      <c r="G104" s="88" t="s">
        <v>78</v>
      </c>
    </row>
    <row r="105" spans="1:14">
      <c r="A105" s="82">
        <f>COUNTA(C90:C104)</f>
        <v>15</v>
      </c>
      <c r="E105" s="178">
        <f>COUNTIF(E90:E104,"Y")</f>
        <v>0</v>
      </c>
    </row>
    <row r="106" spans="1:14">
      <c r="C106" s="58"/>
    </row>
    <row r="107" spans="1:14">
      <c r="B107" s="93" t="s">
        <v>181</v>
      </c>
      <c r="C107" s="83"/>
    </row>
    <row r="108" spans="1:14" s="105" customFormat="1">
      <c r="B108" s="106"/>
      <c r="C108" s="65" t="s">
        <v>182</v>
      </c>
      <c r="D108" s="106" t="s">
        <v>72</v>
      </c>
      <c r="E108" s="106"/>
      <c r="F108" s="107">
        <v>40245</v>
      </c>
      <c r="G108" s="106" t="s">
        <v>78</v>
      </c>
      <c r="H108" s="186" t="s">
        <v>15</v>
      </c>
      <c r="I108" s="186" t="s">
        <v>707</v>
      </c>
      <c r="J108" s="105" t="s">
        <v>183</v>
      </c>
      <c r="K108" s="106"/>
      <c r="L108" s="106"/>
      <c r="M108" s="106"/>
      <c r="N108" s="106"/>
    </row>
    <row r="109" spans="1:14">
      <c r="C109" s="56" t="s">
        <v>184</v>
      </c>
      <c r="D109" s="88" t="s">
        <v>72</v>
      </c>
      <c r="F109" s="94">
        <v>40002</v>
      </c>
      <c r="G109" s="88" t="s">
        <v>78</v>
      </c>
    </row>
    <row r="110" spans="1:14">
      <c r="C110" s="56" t="s">
        <v>185</v>
      </c>
      <c r="D110" s="88" t="s">
        <v>72</v>
      </c>
      <c r="F110" s="88" t="s">
        <v>186</v>
      </c>
      <c r="G110" s="88" t="s">
        <v>78</v>
      </c>
    </row>
    <row r="111" spans="1:14">
      <c r="A111" s="114">
        <f>COUNTA(C108:C110)</f>
        <v>3</v>
      </c>
      <c r="C111" s="57"/>
      <c r="E111" s="178">
        <f>COUNTIF(E108:E110,"Y")</f>
        <v>0</v>
      </c>
    </row>
    <row r="112" spans="1:14">
      <c r="B112" s="178" t="s">
        <v>187</v>
      </c>
      <c r="C112" s="58"/>
    </row>
    <row r="113" spans="1:10">
      <c r="A113" s="117"/>
      <c r="B113" s="118"/>
      <c r="C113" s="168" t="s">
        <v>217</v>
      </c>
      <c r="D113" s="118" t="s">
        <v>72</v>
      </c>
      <c r="E113" s="118"/>
      <c r="F113" s="119">
        <v>39930</v>
      </c>
      <c r="G113" s="118" t="s">
        <v>78</v>
      </c>
      <c r="H113" s="118"/>
      <c r="I113" s="118"/>
      <c r="J113" s="117" t="s">
        <v>218</v>
      </c>
    </row>
    <row r="114" spans="1:10">
      <c r="C114" s="56" t="s">
        <v>222</v>
      </c>
      <c r="D114" s="88" t="s">
        <v>72</v>
      </c>
      <c r="F114" s="94">
        <v>39930</v>
      </c>
      <c r="G114" s="88" t="s">
        <v>78</v>
      </c>
    </row>
    <row r="115" spans="1:10">
      <c r="C115" s="56" t="s">
        <v>214</v>
      </c>
      <c r="D115" s="88" t="s">
        <v>72</v>
      </c>
      <c r="F115" s="94">
        <v>39931</v>
      </c>
      <c r="G115" s="88" t="s">
        <v>78</v>
      </c>
    </row>
    <row r="116" spans="1:10">
      <c r="C116" s="56" t="s">
        <v>212</v>
      </c>
      <c r="D116" s="88" t="s">
        <v>72</v>
      </c>
      <c r="F116" s="94">
        <v>39932</v>
      </c>
      <c r="G116" s="88" t="s">
        <v>78</v>
      </c>
    </row>
    <row r="117" spans="1:10">
      <c r="C117" s="56" t="s">
        <v>221</v>
      </c>
      <c r="D117" s="88" t="s">
        <v>72</v>
      </c>
      <c r="F117" s="94">
        <v>39933</v>
      </c>
      <c r="G117" s="88" t="s">
        <v>78</v>
      </c>
    </row>
    <row r="118" spans="1:10">
      <c r="A118" s="37"/>
      <c r="B118" s="115"/>
      <c r="C118" s="70" t="s">
        <v>215</v>
      </c>
      <c r="D118" s="115" t="s">
        <v>72</v>
      </c>
      <c r="E118" s="115"/>
      <c r="F118" s="116">
        <v>39960</v>
      </c>
      <c r="G118" s="115" t="s">
        <v>78</v>
      </c>
      <c r="H118" s="115"/>
      <c r="I118" s="115"/>
      <c r="J118" s="37" t="s">
        <v>216</v>
      </c>
    </row>
    <row r="119" spans="1:10">
      <c r="A119" s="37"/>
      <c r="B119" s="115"/>
      <c r="C119" s="70" t="s">
        <v>213</v>
      </c>
      <c r="D119" s="115" t="s">
        <v>72</v>
      </c>
      <c r="E119" s="115"/>
      <c r="F119" s="116">
        <v>39966</v>
      </c>
      <c r="G119" s="115" t="s">
        <v>132</v>
      </c>
      <c r="H119" s="115"/>
      <c r="I119" s="115"/>
      <c r="J119" s="37"/>
    </row>
    <row r="120" spans="1:10">
      <c r="C120" s="56" t="s">
        <v>188</v>
      </c>
      <c r="D120" s="88" t="s">
        <v>72</v>
      </c>
      <c r="F120" s="94">
        <v>39974</v>
      </c>
      <c r="G120" s="88" t="s">
        <v>78</v>
      </c>
    </row>
    <row r="121" spans="1:10">
      <c r="C121" s="56" t="s">
        <v>189</v>
      </c>
      <c r="D121" s="88" t="s">
        <v>72</v>
      </c>
      <c r="F121" s="94">
        <v>39974</v>
      </c>
      <c r="G121" s="88" t="s">
        <v>190</v>
      </c>
    </row>
    <row r="122" spans="1:10">
      <c r="C122" s="56" t="s">
        <v>191</v>
      </c>
      <c r="D122" s="88" t="s">
        <v>72</v>
      </c>
      <c r="F122" s="181">
        <v>39974</v>
      </c>
      <c r="G122" s="88" t="s">
        <v>78</v>
      </c>
    </row>
    <row r="123" spans="1:10">
      <c r="C123" s="56" t="s">
        <v>192</v>
      </c>
      <c r="D123" s="88" t="s">
        <v>72</v>
      </c>
      <c r="F123" s="94">
        <v>39975</v>
      </c>
      <c r="G123" s="88" t="s">
        <v>78</v>
      </c>
    </row>
    <row r="124" spans="1:10">
      <c r="C124" s="56" t="s">
        <v>193</v>
      </c>
      <c r="D124" s="88" t="s">
        <v>72</v>
      </c>
      <c r="F124" s="94">
        <v>39975</v>
      </c>
      <c r="G124" s="88" t="s">
        <v>78</v>
      </c>
    </row>
    <row r="125" spans="1:10">
      <c r="C125" s="56" t="s">
        <v>194</v>
      </c>
      <c r="D125" s="88" t="s">
        <v>72</v>
      </c>
      <c r="F125" s="94">
        <v>39975</v>
      </c>
      <c r="G125" s="88" t="s">
        <v>78</v>
      </c>
    </row>
    <row r="126" spans="1:10">
      <c r="C126" s="56" t="s">
        <v>195</v>
      </c>
      <c r="D126" s="88" t="s">
        <v>72</v>
      </c>
      <c r="F126" s="94">
        <v>39975</v>
      </c>
      <c r="G126" s="88" t="s">
        <v>78</v>
      </c>
    </row>
    <row r="127" spans="1:10">
      <c r="C127" s="56" t="s">
        <v>201</v>
      </c>
      <c r="D127" s="88" t="s">
        <v>72</v>
      </c>
      <c r="F127" s="94">
        <v>39975</v>
      </c>
      <c r="G127" s="88" t="s">
        <v>78</v>
      </c>
    </row>
    <row r="128" spans="1:10">
      <c r="C128" s="56" t="s">
        <v>205</v>
      </c>
      <c r="D128" s="88" t="s">
        <v>72</v>
      </c>
      <c r="F128" s="94">
        <v>39975</v>
      </c>
      <c r="G128" s="88" t="s">
        <v>78</v>
      </c>
    </row>
    <row r="129" spans="1:14">
      <c r="C129" s="56" t="s">
        <v>206</v>
      </c>
      <c r="D129" s="88" t="s">
        <v>72</v>
      </c>
      <c r="F129" s="94">
        <v>39975</v>
      </c>
      <c r="G129" s="88" t="s">
        <v>78</v>
      </c>
    </row>
    <row r="130" spans="1:14" s="98" customFormat="1">
      <c r="A130" s="177"/>
      <c r="B130" s="178"/>
      <c r="C130" s="56" t="s">
        <v>204</v>
      </c>
      <c r="D130" s="178" t="s">
        <v>72</v>
      </c>
      <c r="E130" s="178"/>
      <c r="F130" s="181">
        <v>39979</v>
      </c>
      <c r="G130" s="178" t="s">
        <v>78</v>
      </c>
      <c r="H130" s="178"/>
      <c r="I130" s="178"/>
      <c r="J130" s="177"/>
      <c r="K130" s="99"/>
      <c r="L130" s="99"/>
      <c r="M130" s="99"/>
      <c r="N130" s="99"/>
    </row>
    <row r="131" spans="1:14">
      <c r="C131" s="56" t="s">
        <v>207</v>
      </c>
      <c r="D131" s="88" t="s">
        <v>72</v>
      </c>
      <c r="F131" s="181">
        <v>39979</v>
      </c>
      <c r="G131" s="88" t="s">
        <v>78</v>
      </c>
    </row>
    <row r="132" spans="1:14">
      <c r="A132" s="182"/>
      <c r="B132" s="167"/>
      <c r="C132" s="176" t="s">
        <v>208</v>
      </c>
      <c r="D132" s="183" t="s">
        <v>72</v>
      </c>
      <c r="E132" s="183"/>
      <c r="F132" s="184">
        <v>40101</v>
      </c>
      <c r="G132" s="183" t="s">
        <v>78</v>
      </c>
      <c r="H132" s="183"/>
      <c r="I132" s="183"/>
      <c r="J132" s="182" t="s">
        <v>209</v>
      </c>
    </row>
    <row r="133" spans="1:14">
      <c r="C133" s="175" t="s">
        <v>224</v>
      </c>
      <c r="D133" s="88" t="s">
        <v>72</v>
      </c>
      <c r="F133" s="94">
        <v>40127</v>
      </c>
      <c r="G133" s="88" t="s">
        <v>78</v>
      </c>
    </row>
    <row r="134" spans="1:14" s="37" customFormat="1">
      <c r="A134" s="177"/>
      <c r="B134" s="178"/>
      <c r="C134" s="56" t="s">
        <v>200</v>
      </c>
      <c r="D134" s="178" t="s">
        <v>72</v>
      </c>
      <c r="E134" s="178"/>
      <c r="F134" s="181">
        <v>40239</v>
      </c>
      <c r="G134" s="178" t="s">
        <v>78</v>
      </c>
      <c r="H134" s="178" t="s">
        <v>15</v>
      </c>
      <c r="I134" s="178" t="s">
        <v>707</v>
      </c>
      <c r="J134" s="177" t="s">
        <v>32</v>
      </c>
      <c r="K134" s="115"/>
      <c r="L134" s="115"/>
      <c r="M134" s="115"/>
      <c r="N134" s="115"/>
    </row>
    <row r="135" spans="1:14">
      <c r="C135" s="56" t="s">
        <v>202</v>
      </c>
      <c r="D135" s="88" t="s">
        <v>72</v>
      </c>
      <c r="F135" s="94">
        <v>40241</v>
      </c>
      <c r="G135" s="88" t="s">
        <v>78</v>
      </c>
      <c r="H135" s="178" t="s">
        <v>15</v>
      </c>
      <c r="I135" s="178" t="s">
        <v>707</v>
      </c>
      <c r="J135" s="87" t="s">
        <v>203</v>
      </c>
    </row>
    <row r="136" spans="1:14" s="37" customFormat="1">
      <c r="A136" s="177"/>
      <c r="B136" s="178"/>
      <c r="C136" s="56" t="s">
        <v>196</v>
      </c>
      <c r="D136" s="178" t="s">
        <v>72</v>
      </c>
      <c r="E136" s="178"/>
      <c r="F136" s="181">
        <v>40245</v>
      </c>
      <c r="G136" s="178" t="s">
        <v>78</v>
      </c>
      <c r="H136" s="178" t="s">
        <v>15</v>
      </c>
      <c r="I136" s="178" t="s">
        <v>707</v>
      </c>
      <c r="J136" s="177"/>
      <c r="K136" s="115"/>
      <c r="L136" s="115"/>
      <c r="M136" s="115"/>
      <c r="N136" s="115"/>
    </row>
    <row r="137" spans="1:14" s="117" customFormat="1">
      <c r="A137" s="177"/>
      <c r="B137" s="178"/>
      <c r="C137" s="56" t="s">
        <v>197</v>
      </c>
      <c r="D137" s="178" t="s">
        <v>72</v>
      </c>
      <c r="E137" s="178"/>
      <c r="F137" s="178" t="s">
        <v>198</v>
      </c>
      <c r="G137" s="178" t="s">
        <v>78</v>
      </c>
      <c r="H137" s="178"/>
      <c r="I137" s="178"/>
      <c r="J137" s="177" t="s">
        <v>199</v>
      </c>
      <c r="K137" s="118"/>
      <c r="L137" s="118"/>
      <c r="M137" s="118"/>
      <c r="N137" s="118"/>
    </row>
    <row r="138" spans="1:14">
      <c r="A138" s="87">
        <f>COUNTA(C113:C137)</f>
        <v>25</v>
      </c>
      <c r="C138" s="58"/>
      <c r="E138" s="178">
        <f>COUNTIF(E113:E137,"Y")</f>
        <v>0</v>
      </c>
      <c r="F138" s="178"/>
    </row>
    <row r="139" spans="1:14">
      <c r="B139" s="86" t="s">
        <v>211</v>
      </c>
      <c r="C139" s="177"/>
      <c r="F139" s="178"/>
    </row>
    <row r="140" spans="1:14">
      <c r="C140" s="56" t="s">
        <v>219</v>
      </c>
      <c r="J140" s="87" t="s">
        <v>220</v>
      </c>
    </row>
    <row r="141" spans="1:14">
      <c r="C141" s="73" t="s">
        <v>223</v>
      </c>
      <c r="F141" s="178"/>
    </row>
    <row r="142" spans="1:14">
      <c r="A142" s="87">
        <f>COUNTA(C133:C141)</f>
        <v>7</v>
      </c>
      <c r="C142" s="58"/>
      <c r="E142" s="178">
        <f>COUNTIF(E140:E141,"Y")</f>
        <v>0</v>
      </c>
    </row>
    <row r="143" spans="1:14">
      <c r="B143" s="83" t="s">
        <v>225</v>
      </c>
    </row>
    <row r="144" spans="1:14">
      <c r="C144" s="55" t="s">
        <v>226</v>
      </c>
    </row>
    <row r="145" spans="1:10">
      <c r="C145" s="57"/>
    </row>
    <row r="146" spans="1:10">
      <c r="A146" s="87">
        <f>COUNTA(C144:C145)</f>
        <v>1</v>
      </c>
      <c r="C146" s="58"/>
      <c r="E146" s="178">
        <f>COUNTIF(E144:E145,"Y")</f>
        <v>0</v>
      </c>
    </row>
    <row r="147" spans="1:10">
      <c r="B147" s="83" t="s">
        <v>227</v>
      </c>
    </row>
    <row r="148" spans="1:10">
      <c r="C148" s="56" t="s">
        <v>228</v>
      </c>
      <c r="D148" s="88" t="s">
        <v>72</v>
      </c>
      <c r="F148" s="94">
        <v>39968</v>
      </c>
      <c r="G148" s="88" t="s">
        <v>132</v>
      </c>
    </row>
    <row r="149" spans="1:10">
      <c r="C149" s="56" t="s">
        <v>229</v>
      </c>
      <c r="D149" s="88" t="s">
        <v>72</v>
      </c>
      <c r="F149" s="94">
        <v>40241</v>
      </c>
      <c r="G149" s="88" t="s">
        <v>78</v>
      </c>
      <c r="H149" s="178" t="s">
        <v>15</v>
      </c>
      <c r="I149" s="178" t="s">
        <v>707</v>
      </c>
    </row>
    <row r="150" spans="1:10">
      <c r="C150" s="56" t="s">
        <v>230</v>
      </c>
      <c r="D150" s="88" t="s">
        <v>72</v>
      </c>
      <c r="F150" s="88" t="s">
        <v>231</v>
      </c>
      <c r="G150" s="88" t="s">
        <v>78</v>
      </c>
    </row>
    <row r="151" spans="1:10">
      <c r="C151" s="56" t="s">
        <v>232</v>
      </c>
      <c r="D151" s="88" t="s">
        <v>72</v>
      </c>
      <c r="F151" s="94">
        <v>39988</v>
      </c>
      <c r="G151" s="88" t="s">
        <v>78</v>
      </c>
    </row>
    <row r="152" spans="1:10">
      <c r="C152" s="56" t="s">
        <v>233</v>
      </c>
    </row>
    <row r="153" spans="1:10">
      <c r="C153" s="56" t="s">
        <v>234</v>
      </c>
      <c r="D153" s="88" t="s">
        <v>72</v>
      </c>
      <c r="F153" s="94">
        <v>39988</v>
      </c>
      <c r="G153" s="88" t="s">
        <v>78</v>
      </c>
    </row>
    <row r="154" spans="1:10">
      <c r="C154" s="56" t="s">
        <v>235</v>
      </c>
      <c r="D154" s="88" t="s">
        <v>72</v>
      </c>
      <c r="F154" s="94">
        <v>39987</v>
      </c>
      <c r="G154" s="88" t="s">
        <v>78</v>
      </c>
    </row>
    <row r="155" spans="1:10">
      <c r="C155" s="56" t="s">
        <v>236</v>
      </c>
      <c r="D155" s="88" t="s">
        <v>72</v>
      </c>
      <c r="F155" s="94">
        <v>39987</v>
      </c>
      <c r="G155" s="88" t="s">
        <v>78</v>
      </c>
    </row>
    <row r="156" spans="1:10">
      <c r="C156" s="56" t="s">
        <v>237</v>
      </c>
      <c r="D156" s="88" t="s">
        <v>72</v>
      </c>
      <c r="F156" s="94">
        <v>39986</v>
      </c>
      <c r="G156" s="88" t="s">
        <v>78</v>
      </c>
      <c r="J156" s="87" t="s">
        <v>238</v>
      </c>
    </row>
    <row r="157" spans="1:10">
      <c r="C157" s="56" t="s">
        <v>239</v>
      </c>
      <c r="D157" s="88" t="s">
        <v>72</v>
      </c>
      <c r="F157" s="94">
        <v>39982</v>
      </c>
      <c r="G157" s="88" t="s">
        <v>78</v>
      </c>
    </row>
    <row r="158" spans="1:10">
      <c r="C158" s="56" t="s">
        <v>240</v>
      </c>
      <c r="J158" s="87" t="s">
        <v>241</v>
      </c>
    </row>
    <row r="159" spans="1:10">
      <c r="C159" s="56" t="s">
        <v>242</v>
      </c>
      <c r="J159" s="87" t="s">
        <v>243</v>
      </c>
    </row>
    <row r="160" spans="1:10">
      <c r="C160" s="56" t="s">
        <v>244</v>
      </c>
      <c r="D160" s="88" t="s">
        <v>72</v>
      </c>
      <c r="F160" s="94">
        <v>39982</v>
      </c>
      <c r="G160" s="88" t="s">
        <v>78</v>
      </c>
    </row>
    <row r="161" spans="1:14">
      <c r="C161" s="56" t="s">
        <v>245</v>
      </c>
      <c r="D161" s="88" t="s">
        <v>72</v>
      </c>
      <c r="F161" s="94">
        <v>39982</v>
      </c>
      <c r="G161" s="88" t="s">
        <v>78</v>
      </c>
    </row>
    <row r="162" spans="1:14">
      <c r="C162" s="56" t="s">
        <v>246</v>
      </c>
      <c r="D162" s="88" t="s">
        <v>72</v>
      </c>
      <c r="F162" s="94">
        <v>39980</v>
      </c>
      <c r="G162" s="88" t="s">
        <v>78</v>
      </c>
    </row>
    <row r="163" spans="1:14">
      <c r="C163" s="56" t="s">
        <v>247</v>
      </c>
      <c r="D163" s="88" t="s">
        <v>72</v>
      </c>
      <c r="F163" s="94">
        <v>39980</v>
      </c>
      <c r="G163" s="88" t="s">
        <v>78</v>
      </c>
    </row>
    <row r="164" spans="1:14">
      <c r="C164" s="56" t="s">
        <v>248</v>
      </c>
    </row>
    <row r="165" spans="1:14">
      <c r="C165" s="56" t="s">
        <v>249</v>
      </c>
      <c r="D165" s="88" t="s">
        <v>72</v>
      </c>
      <c r="F165" s="94">
        <v>39980</v>
      </c>
      <c r="G165" s="88" t="s">
        <v>78</v>
      </c>
    </row>
    <row r="166" spans="1:14">
      <c r="C166" s="56" t="s">
        <v>250</v>
      </c>
      <c r="D166" s="88" t="s">
        <v>72</v>
      </c>
      <c r="F166" s="94">
        <v>39979</v>
      </c>
      <c r="G166" s="88" t="s">
        <v>78</v>
      </c>
    </row>
    <row r="167" spans="1:14" s="98" customFormat="1">
      <c r="B167" s="99"/>
      <c r="C167" s="76" t="s">
        <v>251</v>
      </c>
      <c r="D167" s="99" t="s">
        <v>72</v>
      </c>
      <c r="E167" s="183"/>
      <c r="F167" s="100">
        <v>40079</v>
      </c>
      <c r="G167" s="99" t="s">
        <v>78</v>
      </c>
      <c r="H167" s="183"/>
      <c r="I167" s="183"/>
      <c r="J167" s="120" t="s">
        <v>252</v>
      </c>
      <c r="K167" s="99"/>
      <c r="L167" s="99"/>
      <c r="M167" s="99"/>
      <c r="N167" s="99"/>
    </row>
    <row r="168" spans="1:14">
      <c r="A168" s="87">
        <f>COUNTA(C148:C167)</f>
        <v>20</v>
      </c>
      <c r="C168" s="57"/>
      <c r="E168" s="178">
        <f>COUNTIF(E148:E167,"Y")</f>
        <v>0</v>
      </c>
    </row>
    <row r="169" spans="1:14">
      <c r="C169" s="58"/>
    </row>
    <row r="170" spans="1:14">
      <c r="B170" s="83" t="s">
        <v>253</v>
      </c>
    </row>
    <row r="171" spans="1:14" s="98" customFormat="1">
      <c r="B171" s="99"/>
      <c r="C171" s="78" t="s">
        <v>254</v>
      </c>
      <c r="D171" s="99" t="s">
        <v>72</v>
      </c>
      <c r="E171" s="183"/>
      <c r="F171" s="100">
        <v>40185</v>
      </c>
      <c r="G171" s="99" t="s">
        <v>78</v>
      </c>
      <c r="H171" s="183" t="s">
        <v>15</v>
      </c>
      <c r="I171" s="183" t="s">
        <v>707</v>
      </c>
      <c r="J171" s="98" t="s">
        <v>252</v>
      </c>
      <c r="K171" s="99"/>
      <c r="L171" s="99"/>
      <c r="M171" s="99"/>
      <c r="N171" s="99"/>
    </row>
    <row r="172" spans="1:14">
      <c r="C172" s="56" t="s">
        <v>255</v>
      </c>
      <c r="D172" s="88" t="s">
        <v>72</v>
      </c>
      <c r="F172" s="94">
        <v>40019</v>
      </c>
      <c r="G172" s="88" t="s">
        <v>78</v>
      </c>
      <c r="J172" s="87" t="s">
        <v>256</v>
      </c>
    </row>
    <row r="173" spans="1:14">
      <c r="C173" s="56" t="s">
        <v>257</v>
      </c>
      <c r="D173" s="88" t="s">
        <v>72</v>
      </c>
      <c r="F173" s="94">
        <v>40058</v>
      </c>
      <c r="G173" s="88" t="s">
        <v>78</v>
      </c>
    </row>
    <row r="174" spans="1:14">
      <c r="C174" s="56" t="s">
        <v>258</v>
      </c>
      <c r="D174" s="88" t="s">
        <v>72</v>
      </c>
      <c r="F174" s="94">
        <v>40058</v>
      </c>
      <c r="G174" s="88" t="s">
        <v>78</v>
      </c>
    </row>
    <row r="175" spans="1:14">
      <c r="C175" s="56" t="s">
        <v>259</v>
      </c>
      <c r="D175" s="88" t="s">
        <v>72</v>
      </c>
      <c r="F175" s="94">
        <v>40059</v>
      </c>
      <c r="G175" s="88" t="s">
        <v>78</v>
      </c>
    </row>
    <row r="176" spans="1:14">
      <c r="C176" s="56" t="s">
        <v>260</v>
      </c>
      <c r="D176" s="88" t="s">
        <v>72</v>
      </c>
      <c r="F176" s="94">
        <v>40059</v>
      </c>
      <c r="G176" s="88" t="s">
        <v>78</v>
      </c>
    </row>
    <row r="177" spans="1:14">
      <c r="C177" s="56" t="s">
        <v>261</v>
      </c>
      <c r="D177" s="88" t="s">
        <v>72</v>
      </c>
      <c r="F177" s="94">
        <v>40059</v>
      </c>
      <c r="G177" s="88" t="s">
        <v>78</v>
      </c>
    </row>
    <row r="178" spans="1:14" s="98" customFormat="1">
      <c r="B178" s="99"/>
      <c r="C178" s="75" t="s">
        <v>262</v>
      </c>
      <c r="D178" s="99" t="s">
        <v>72</v>
      </c>
      <c r="E178" s="183"/>
      <c r="F178" s="100">
        <v>40190</v>
      </c>
      <c r="G178" s="99" t="s">
        <v>78</v>
      </c>
      <c r="H178" s="183" t="s">
        <v>15</v>
      </c>
      <c r="I178" s="183" t="s">
        <v>707</v>
      </c>
      <c r="J178" s="98" t="s">
        <v>252</v>
      </c>
      <c r="K178" s="99"/>
      <c r="L178" s="99"/>
      <c r="M178" s="99"/>
      <c r="N178" s="99"/>
    </row>
    <row r="179" spans="1:14">
      <c r="A179" s="87">
        <f>COUNTA(C171:C178)</f>
        <v>8</v>
      </c>
      <c r="C179" s="58"/>
      <c r="E179" s="178">
        <f>COUNTIF(E171:E178,"Y")</f>
        <v>0</v>
      </c>
    </row>
    <row r="180" spans="1:14">
      <c r="B180" s="83" t="s">
        <v>263</v>
      </c>
    </row>
    <row r="181" spans="1:14">
      <c r="C181" s="86" t="s">
        <v>264</v>
      </c>
      <c r="D181" s="88" t="s">
        <v>72</v>
      </c>
      <c r="F181" s="94">
        <v>40078</v>
      </c>
      <c r="G181" s="88" t="s">
        <v>78</v>
      </c>
      <c r="J181" s="121" t="s">
        <v>32</v>
      </c>
    </row>
    <row r="182" spans="1:14">
      <c r="C182" s="56" t="s">
        <v>265</v>
      </c>
      <c r="D182" s="88" t="s">
        <v>72</v>
      </c>
      <c r="F182" s="94">
        <v>39931</v>
      </c>
      <c r="G182" s="88" t="s">
        <v>78</v>
      </c>
    </row>
    <row r="183" spans="1:14" s="105" customFormat="1">
      <c r="B183" s="106"/>
      <c r="C183" s="65" t="s">
        <v>266</v>
      </c>
      <c r="D183" s="106" t="s">
        <v>72</v>
      </c>
      <c r="E183" s="106"/>
      <c r="F183" s="107">
        <v>39911</v>
      </c>
      <c r="G183" s="106" t="s">
        <v>78</v>
      </c>
      <c r="H183" s="186"/>
      <c r="I183" s="186"/>
      <c r="J183" s="105" t="s">
        <v>267</v>
      </c>
      <c r="K183" s="106"/>
      <c r="L183" s="106"/>
      <c r="M183" s="106"/>
      <c r="N183" s="106"/>
    </row>
    <row r="184" spans="1:14" s="37" customFormat="1">
      <c r="B184" s="115"/>
      <c r="C184" s="70" t="s">
        <v>268</v>
      </c>
      <c r="D184" s="115" t="s">
        <v>72</v>
      </c>
      <c r="E184" s="115"/>
      <c r="F184" s="116">
        <v>39917</v>
      </c>
      <c r="G184" s="115" t="s">
        <v>78</v>
      </c>
      <c r="H184" s="115"/>
      <c r="I184" s="115"/>
      <c r="J184" s="37" t="s">
        <v>269</v>
      </c>
      <c r="K184" s="115"/>
      <c r="L184" s="115"/>
      <c r="M184" s="115"/>
      <c r="N184" s="115"/>
    </row>
    <row r="185" spans="1:14">
      <c r="C185" s="56" t="s">
        <v>270</v>
      </c>
      <c r="D185" s="88" t="s">
        <v>72</v>
      </c>
      <c r="F185" s="94">
        <v>39918</v>
      </c>
      <c r="G185" s="88" t="s">
        <v>78</v>
      </c>
    </row>
    <row r="186" spans="1:14">
      <c r="C186" s="56" t="s">
        <v>271</v>
      </c>
      <c r="D186" s="88" t="s">
        <v>72</v>
      </c>
      <c r="F186" s="94">
        <v>39918</v>
      </c>
      <c r="G186" s="88" t="s">
        <v>78</v>
      </c>
    </row>
    <row r="187" spans="1:14" s="37" customFormat="1">
      <c r="B187" s="115"/>
      <c r="C187" s="70" t="s">
        <v>272</v>
      </c>
      <c r="D187" s="115" t="s">
        <v>72</v>
      </c>
      <c r="E187" s="115"/>
      <c r="F187" s="116">
        <v>39918</v>
      </c>
      <c r="G187" s="115" t="s">
        <v>78</v>
      </c>
      <c r="H187" s="115"/>
      <c r="I187" s="115"/>
      <c r="K187" s="115"/>
      <c r="L187" s="115"/>
      <c r="M187" s="115"/>
      <c r="N187" s="115"/>
    </row>
    <row r="188" spans="1:14">
      <c r="C188" s="59" t="s">
        <v>273</v>
      </c>
      <c r="J188" s="87" t="s">
        <v>274</v>
      </c>
    </row>
    <row r="189" spans="1:14">
      <c r="C189" s="56" t="s">
        <v>275</v>
      </c>
      <c r="D189" s="88" t="s">
        <v>72</v>
      </c>
      <c r="F189" s="94">
        <v>39919</v>
      </c>
      <c r="G189" s="88" t="s">
        <v>78</v>
      </c>
    </row>
    <row r="190" spans="1:14">
      <c r="C190" s="56" t="s">
        <v>276</v>
      </c>
      <c r="D190" s="88" t="s">
        <v>72</v>
      </c>
      <c r="F190" s="94">
        <v>39919</v>
      </c>
      <c r="G190" s="88" t="s">
        <v>78</v>
      </c>
    </row>
    <row r="191" spans="1:14">
      <c r="C191" s="56" t="s">
        <v>277</v>
      </c>
      <c r="D191" s="88" t="s">
        <v>72</v>
      </c>
      <c r="F191" s="94">
        <v>39919</v>
      </c>
      <c r="G191" s="88" t="s">
        <v>78</v>
      </c>
    </row>
    <row r="192" spans="1:14" s="122" customFormat="1">
      <c r="B192" s="123"/>
      <c r="C192" s="69" t="s">
        <v>278</v>
      </c>
      <c r="D192" s="123" t="s">
        <v>72</v>
      </c>
      <c r="E192" s="123"/>
      <c r="F192" s="124">
        <v>39931</v>
      </c>
      <c r="G192" s="123" t="s">
        <v>78</v>
      </c>
      <c r="H192" s="189"/>
      <c r="I192" s="189"/>
      <c r="K192" s="123"/>
      <c r="L192" s="123"/>
      <c r="M192" s="123"/>
      <c r="N192" s="123"/>
    </row>
    <row r="193" spans="1:14">
      <c r="C193" s="56" t="s">
        <v>279</v>
      </c>
      <c r="D193" s="88" t="s">
        <v>72</v>
      </c>
      <c r="F193" s="94">
        <v>39923</v>
      </c>
      <c r="G193" s="88" t="s">
        <v>78</v>
      </c>
    </row>
    <row r="194" spans="1:14" s="37" customFormat="1">
      <c r="B194" s="115"/>
      <c r="C194" s="70" t="s">
        <v>280</v>
      </c>
      <c r="D194" s="115" t="s">
        <v>72</v>
      </c>
      <c r="E194" s="115"/>
      <c r="F194" s="116">
        <v>39923</v>
      </c>
      <c r="G194" s="115" t="s">
        <v>78</v>
      </c>
      <c r="H194" s="115"/>
      <c r="I194" s="115"/>
      <c r="K194" s="115"/>
      <c r="L194" s="115"/>
      <c r="M194" s="115"/>
      <c r="N194" s="115"/>
    </row>
    <row r="195" spans="1:14">
      <c r="C195" s="56" t="s">
        <v>281</v>
      </c>
      <c r="D195" s="88" t="s">
        <v>72</v>
      </c>
      <c r="F195" s="94">
        <v>39923</v>
      </c>
      <c r="G195" s="88" t="s">
        <v>78</v>
      </c>
    </row>
    <row r="196" spans="1:14">
      <c r="C196" s="56" t="s">
        <v>282</v>
      </c>
      <c r="D196" s="88" t="s">
        <v>72</v>
      </c>
      <c r="F196" s="94">
        <v>40149</v>
      </c>
      <c r="G196" s="88" t="s">
        <v>78</v>
      </c>
    </row>
    <row r="197" spans="1:14">
      <c r="C197" s="56" t="s">
        <v>283</v>
      </c>
      <c r="D197" s="88" t="s">
        <v>72</v>
      </c>
      <c r="F197" s="94">
        <v>39923</v>
      </c>
      <c r="G197" s="88" t="s">
        <v>78</v>
      </c>
    </row>
    <row r="198" spans="1:14">
      <c r="C198" s="56" t="s">
        <v>284</v>
      </c>
      <c r="D198" s="88" t="s">
        <v>72</v>
      </c>
      <c r="F198" s="94">
        <v>39923</v>
      </c>
      <c r="G198" s="88" t="s">
        <v>78</v>
      </c>
    </row>
    <row r="199" spans="1:14">
      <c r="C199" s="56" t="s">
        <v>285</v>
      </c>
      <c r="D199" s="88" t="s">
        <v>72</v>
      </c>
      <c r="F199" s="94">
        <v>40148</v>
      </c>
      <c r="G199" s="88" t="s">
        <v>78</v>
      </c>
    </row>
    <row r="200" spans="1:14">
      <c r="C200" s="56" t="s">
        <v>286</v>
      </c>
    </row>
    <row r="201" spans="1:14">
      <c r="A201" s="87">
        <f>COUNTA(C181:C200)</f>
        <v>20</v>
      </c>
      <c r="C201" s="57"/>
      <c r="E201" s="178"/>
    </row>
    <row r="202" spans="1:14">
      <c r="C202" s="58"/>
    </row>
    <row r="203" spans="1:14">
      <c r="B203" s="83" t="s">
        <v>287</v>
      </c>
    </row>
    <row r="204" spans="1:14">
      <c r="C204" s="56" t="s">
        <v>107</v>
      </c>
      <c r="D204" s="88" t="s">
        <v>72</v>
      </c>
      <c r="F204" s="94">
        <v>39924</v>
      </c>
      <c r="G204" s="88" t="s">
        <v>78</v>
      </c>
    </row>
    <row r="205" spans="1:14">
      <c r="C205" s="56" t="s">
        <v>288</v>
      </c>
      <c r="D205" s="88" t="s">
        <v>72</v>
      </c>
      <c r="F205" s="94">
        <v>40148</v>
      </c>
      <c r="G205" s="88" t="s">
        <v>78</v>
      </c>
    </row>
    <row r="206" spans="1:14" s="127" customFormat="1">
      <c r="B206" s="125"/>
      <c r="C206" s="68" t="s">
        <v>289</v>
      </c>
      <c r="D206" s="125" t="s">
        <v>72</v>
      </c>
      <c r="E206" s="125"/>
      <c r="F206" s="126">
        <v>39925</v>
      </c>
      <c r="G206" s="125" t="s">
        <v>78</v>
      </c>
      <c r="H206" s="190"/>
      <c r="I206" s="190"/>
      <c r="K206" s="125"/>
      <c r="L206" s="125"/>
      <c r="M206" s="125"/>
      <c r="N206" s="125"/>
    </row>
    <row r="207" spans="1:14">
      <c r="C207" s="56" t="s">
        <v>290</v>
      </c>
      <c r="D207" s="88" t="s">
        <v>72</v>
      </c>
      <c r="F207" s="94">
        <v>39896</v>
      </c>
      <c r="G207" s="88" t="s">
        <v>78</v>
      </c>
    </row>
    <row r="208" spans="1:14">
      <c r="C208" s="56" t="s">
        <v>291</v>
      </c>
      <c r="D208" s="88" t="s">
        <v>72</v>
      </c>
      <c r="F208" s="94">
        <v>39902</v>
      </c>
      <c r="G208" s="88" t="s">
        <v>78</v>
      </c>
      <c r="J208" s="128"/>
    </row>
    <row r="209" spans="2:14">
      <c r="C209" s="56" t="s">
        <v>292</v>
      </c>
      <c r="D209" s="88" t="s">
        <v>72</v>
      </c>
      <c r="F209" s="94">
        <v>39902</v>
      </c>
      <c r="G209" s="88" t="s">
        <v>78</v>
      </c>
    </row>
    <row r="210" spans="2:14">
      <c r="C210" s="56" t="s">
        <v>293</v>
      </c>
    </row>
    <row r="211" spans="2:14">
      <c r="C211" s="56" t="s">
        <v>294</v>
      </c>
      <c r="D211" s="88" t="s">
        <v>72</v>
      </c>
      <c r="F211" s="94">
        <v>39903</v>
      </c>
      <c r="G211" s="88" t="s">
        <v>78</v>
      </c>
    </row>
    <row r="212" spans="2:14" s="130" customFormat="1">
      <c r="B212" s="129"/>
      <c r="C212" s="71" t="s">
        <v>295</v>
      </c>
      <c r="D212" s="129"/>
      <c r="E212" s="129"/>
      <c r="F212" s="129"/>
      <c r="G212" s="129"/>
      <c r="H212" s="191"/>
      <c r="I212" s="191"/>
      <c r="K212" s="129"/>
      <c r="L212" s="129"/>
      <c r="M212" s="129"/>
      <c r="N212" s="129"/>
    </row>
    <row r="213" spans="2:14" s="133" customFormat="1">
      <c r="B213" s="131"/>
      <c r="C213" s="72" t="s">
        <v>296</v>
      </c>
      <c r="D213" s="131" t="s">
        <v>72</v>
      </c>
      <c r="E213" s="131"/>
      <c r="F213" s="132">
        <v>39925</v>
      </c>
      <c r="G213" s="131" t="s">
        <v>78</v>
      </c>
      <c r="H213" s="192"/>
      <c r="I213" s="192"/>
      <c r="K213" s="131"/>
      <c r="L213" s="131"/>
      <c r="M213" s="131"/>
      <c r="N213" s="131"/>
    </row>
    <row r="214" spans="2:14" s="130" customFormat="1">
      <c r="B214" s="129"/>
      <c r="C214" s="73" t="s">
        <v>297</v>
      </c>
      <c r="D214" s="129" t="s">
        <v>72</v>
      </c>
      <c r="E214" s="129"/>
      <c r="F214" s="134">
        <v>39903</v>
      </c>
      <c r="G214" s="129" t="s">
        <v>78</v>
      </c>
      <c r="H214" s="191"/>
      <c r="I214" s="191"/>
      <c r="J214" s="135"/>
      <c r="K214" s="129"/>
      <c r="L214" s="129"/>
      <c r="M214" s="129"/>
      <c r="N214" s="129"/>
    </row>
    <row r="215" spans="2:14" s="138" customFormat="1">
      <c r="B215" s="136"/>
      <c r="C215" s="74" t="s">
        <v>298</v>
      </c>
      <c r="D215" s="136" t="s">
        <v>72</v>
      </c>
      <c r="E215" s="136"/>
      <c r="F215" s="137">
        <v>39966</v>
      </c>
      <c r="G215" s="136" t="s">
        <v>78</v>
      </c>
      <c r="H215" s="136"/>
      <c r="I215" s="136"/>
      <c r="K215" s="136"/>
      <c r="L215" s="136"/>
      <c r="M215" s="136"/>
      <c r="N215" s="136"/>
    </row>
    <row r="216" spans="2:14">
      <c r="C216" s="56" t="s">
        <v>299</v>
      </c>
      <c r="D216" s="88" t="s">
        <v>72</v>
      </c>
      <c r="F216" s="94">
        <v>39903</v>
      </c>
      <c r="G216" s="88" t="s">
        <v>78</v>
      </c>
    </row>
    <row r="217" spans="2:14">
      <c r="C217" s="56" t="s">
        <v>300</v>
      </c>
    </row>
    <row r="218" spans="2:14">
      <c r="C218" s="56" t="s">
        <v>301</v>
      </c>
      <c r="D218" s="88" t="s">
        <v>72</v>
      </c>
      <c r="F218" s="94">
        <v>39904</v>
      </c>
      <c r="G218" s="88" t="s">
        <v>78</v>
      </c>
    </row>
    <row r="219" spans="2:14" s="139" customFormat="1">
      <c r="B219" s="140"/>
      <c r="C219" s="66" t="s">
        <v>302</v>
      </c>
      <c r="D219" s="140" t="s">
        <v>72</v>
      </c>
      <c r="E219" s="140"/>
      <c r="F219" s="141">
        <v>39904</v>
      </c>
      <c r="G219" s="140" t="s">
        <v>78</v>
      </c>
      <c r="H219" s="193"/>
      <c r="I219" s="193"/>
      <c r="J219" s="139" t="s">
        <v>303</v>
      </c>
      <c r="K219" s="142"/>
      <c r="L219" s="142"/>
      <c r="M219" s="142"/>
      <c r="N219" s="142"/>
    </row>
    <row r="220" spans="2:14" s="97" customFormat="1">
      <c r="B220" s="106"/>
      <c r="C220" s="65" t="s">
        <v>304</v>
      </c>
      <c r="D220" s="106" t="s">
        <v>72</v>
      </c>
      <c r="E220" s="106"/>
      <c r="F220" s="107">
        <v>39904</v>
      </c>
      <c r="G220" s="106" t="s">
        <v>78</v>
      </c>
      <c r="H220" s="186"/>
      <c r="I220" s="186"/>
      <c r="J220" s="105" t="s">
        <v>305</v>
      </c>
      <c r="K220" s="143"/>
      <c r="L220" s="143"/>
      <c r="M220" s="143"/>
      <c r="N220" s="143"/>
    </row>
    <row r="221" spans="2:14" s="37" customFormat="1">
      <c r="B221" s="115"/>
      <c r="C221" s="70" t="s">
        <v>306</v>
      </c>
      <c r="D221" s="115" t="s">
        <v>72</v>
      </c>
      <c r="E221" s="115"/>
      <c r="F221" s="116">
        <v>39967</v>
      </c>
      <c r="G221" s="115" t="s">
        <v>132</v>
      </c>
      <c r="H221" s="115"/>
      <c r="I221" s="115"/>
      <c r="J221" s="37" t="s">
        <v>307</v>
      </c>
      <c r="K221" s="115"/>
      <c r="L221" s="115"/>
      <c r="M221" s="115"/>
      <c r="N221" s="115"/>
    </row>
    <row r="222" spans="2:14">
      <c r="C222" s="56" t="s">
        <v>308</v>
      </c>
      <c r="D222" s="88" t="s">
        <v>72</v>
      </c>
      <c r="F222" s="94">
        <v>39905</v>
      </c>
      <c r="G222" s="88" t="s">
        <v>78</v>
      </c>
    </row>
    <row r="223" spans="2:14" s="37" customFormat="1">
      <c r="B223" s="115"/>
      <c r="C223" s="70" t="s">
        <v>309</v>
      </c>
      <c r="D223" s="115" t="s">
        <v>72</v>
      </c>
      <c r="E223" s="115"/>
      <c r="F223" s="116">
        <v>39968</v>
      </c>
      <c r="G223" s="115" t="s">
        <v>132</v>
      </c>
      <c r="H223" s="115"/>
      <c r="I223" s="115"/>
      <c r="J223" s="37" t="s">
        <v>310</v>
      </c>
      <c r="K223" s="115"/>
      <c r="L223" s="115"/>
      <c r="M223" s="115"/>
      <c r="N223" s="115"/>
    </row>
    <row r="224" spans="2:14">
      <c r="C224" s="56" t="s">
        <v>311</v>
      </c>
      <c r="D224" s="88" t="s">
        <v>72</v>
      </c>
      <c r="F224" s="94">
        <v>39968</v>
      </c>
      <c r="G224" s="88" t="s">
        <v>312</v>
      </c>
    </row>
    <row r="225" spans="1:14">
      <c r="C225" s="60" t="s">
        <v>313</v>
      </c>
      <c r="D225" s="88" t="s">
        <v>72</v>
      </c>
      <c r="F225" s="94">
        <v>39909</v>
      </c>
      <c r="G225" s="88" t="s">
        <v>78</v>
      </c>
      <c r="J225" s="87" t="s">
        <v>314</v>
      </c>
    </row>
    <row r="226" spans="1:14">
      <c r="C226" s="56" t="s">
        <v>315</v>
      </c>
      <c r="D226" s="88" t="s">
        <v>72</v>
      </c>
      <c r="F226" s="94">
        <v>39909</v>
      </c>
      <c r="G226" s="88" t="s">
        <v>78</v>
      </c>
    </row>
    <row r="227" spans="1:14">
      <c r="C227" s="56" t="s">
        <v>316</v>
      </c>
    </row>
    <row r="228" spans="1:14">
      <c r="C228" s="56" t="s">
        <v>317</v>
      </c>
      <c r="D228" s="88" t="s">
        <v>72</v>
      </c>
      <c r="F228" s="94">
        <v>39910</v>
      </c>
      <c r="G228" s="88" t="s">
        <v>78</v>
      </c>
    </row>
    <row r="229" spans="1:14" s="105" customFormat="1">
      <c r="B229" s="106"/>
      <c r="C229" s="67" t="s">
        <v>318</v>
      </c>
      <c r="D229" s="106" t="s">
        <v>72</v>
      </c>
      <c r="E229" s="106"/>
      <c r="F229" s="107">
        <v>39910</v>
      </c>
      <c r="G229" s="106" t="s">
        <v>78</v>
      </c>
      <c r="H229" s="186"/>
      <c r="I229" s="186"/>
      <c r="J229" s="139" t="s">
        <v>319</v>
      </c>
      <c r="K229" s="106"/>
      <c r="L229" s="106"/>
      <c r="M229" s="106"/>
      <c r="N229" s="106"/>
    </row>
    <row r="230" spans="1:14">
      <c r="C230" s="56" t="s">
        <v>320</v>
      </c>
      <c r="D230" s="88" t="s">
        <v>32</v>
      </c>
    </row>
    <row r="231" spans="1:14">
      <c r="A231" s="87">
        <f>COUNTA(C204:C230)</f>
        <v>27</v>
      </c>
      <c r="C231" s="57"/>
      <c r="E231" s="178">
        <f>COUNTIF(E181:E230,"Y")</f>
        <v>0</v>
      </c>
    </row>
    <row r="232" spans="1:14">
      <c r="C232" s="58"/>
    </row>
    <row r="233" spans="1:14">
      <c r="B233" s="83" t="s">
        <v>321</v>
      </c>
    </row>
    <row r="234" spans="1:14">
      <c r="C234" s="86" t="s">
        <v>322</v>
      </c>
      <c r="D234" s="88" t="s">
        <v>72</v>
      </c>
      <c r="E234" s="178"/>
      <c r="F234" s="94">
        <v>40079</v>
      </c>
      <c r="G234" s="88" t="s">
        <v>78</v>
      </c>
      <c r="J234" s="121" t="s">
        <v>323</v>
      </c>
    </row>
    <row r="235" spans="1:14">
      <c r="C235" s="56" t="s">
        <v>324</v>
      </c>
      <c r="D235" s="88" t="s">
        <v>72</v>
      </c>
      <c r="F235" s="94">
        <v>40059</v>
      </c>
      <c r="G235" s="88" t="s">
        <v>78</v>
      </c>
    </row>
    <row r="236" spans="1:14">
      <c r="C236" s="56" t="s">
        <v>325</v>
      </c>
      <c r="D236" s="88" t="s">
        <v>72</v>
      </c>
      <c r="F236" s="94">
        <v>40060</v>
      </c>
      <c r="G236" s="88" t="s">
        <v>78</v>
      </c>
    </row>
    <row r="237" spans="1:14">
      <c r="C237" s="56" t="s">
        <v>326</v>
      </c>
      <c r="D237" s="88" t="s">
        <v>72</v>
      </c>
      <c r="F237" s="94">
        <v>40060</v>
      </c>
      <c r="G237" s="88" t="s">
        <v>78</v>
      </c>
      <c r="J237" s="87" t="s">
        <v>327</v>
      </c>
    </row>
    <row r="238" spans="1:14">
      <c r="C238" s="56" t="s">
        <v>328</v>
      </c>
      <c r="D238" s="88" t="s">
        <v>72</v>
      </c>
      <c r="F238" s="94">
        <v>40060</v>
      </c>
      <c r="G238" s="88" t="s">
        <v>78</v>
      </c>
    </row>
    <row r="239" spans="1:14">
      <c r="C239" s="56" t="s">
        <v>329</v>
      </c>
      <c r="D239" s="88" t="s">
        <v>72</v>
      </c>
      <c r="F239" s="94">
        <v>40065</v>
      </c>
      <c r="G239" s="88" t="s">
        <v>78</v>
      </c>
      <c r="J239" s="87" t="s">
        <v>330</v>
      </c>
    </row>
    <row r="240" spans="1:14">
      <c r="C240" s="56" t="s">
        <v>331</v>
      </c>
      <c r="D240" s="88" t="s">
        <v>72</v>
      </c>
      <c r="F240" s="94">
        <v>40072</v>
      </c>
      <c r="G240" s="88" t="s">
        <v>78</v>
      </c>
    </row>
    <row r="241" spans="3:7">
      <c r="C241" s="56" t="s">
        <v>332</v>
      </c>
    </row>
    <row r="242" spans="3:7">
      <c r="C242" s="56" t="s">
        <v>333</v>
      </c>
      <c r="D242" s="88" t="s">
        <v>72</v>
      </c>
      <c r="F242" s="94">
        <v>40066</v>
      </c>
      <c r="G242" s="88" t="s">
        <v>78</v>
      </c>
    </row>
    <row r="243" spans="3:7">
      <c r="C243" s="56" t="s">
        <v>334</v>
      </c>
      <c r="D243" s="88" t="s">
        <v>72</v>
      </c>
      <c r="F243" s="94">
        <v>40060</v>
      </c>
      <c r="G243" s="88" t="s">
        <v>78</v>
      </c>
    </row>
    <row r="244" spans="3:7">
      <c r="C244" s="56" t="s">
        <v>335</v>
      </c>
      <c r="D244" s="88" t="s">
        <v>72</v>
      </c>
      <c r="F244" s="94">
        <v>40072</v>
      </c>
      <c r="G244" s="88" t="s">
        <v>78</v>
      </c>
    </row>
    <row r="245" spans="3:7">
      <c r="C245" s="56" t="s">
        <v>336</v>
      </c>
    </row>
    <row r="246" spans="3:7">
      <c r="C246" s="56" t="s">
        <v>337</v>
      </c>
    </row>
    <row r="247" spans="3:7">
      <c r="C247" s="56" t="s">
        <v>338</v>
      </c>
    </row>
    <row r="248" spans="3:7">
      <c r="C248" s="56" t="s">
        <v>339</v>
      </c>
      <c r="D248" s="88" t="s">
        <v>72</v>
      </c>
      <c r="F248" s="94">
        <v>40066</v>
      </c>
      <c r="G248" s="88" t="s">
        <v>78</v>
      </c>
    </row>
    <row r="249" spans="3:7">
      <c r="C249" s="56" t="s">
        <v>340</v>
      </c>
      <c r="D249" s="88" t="s">
        <v>72</v>
      </c>
      <c r="F249" s="94">
        <v>40070</v>
      </c>
      <c r="G249" s="88" t="s">
        <v>78</v>
      </c>
    </row>
    <row r="250" spans="3:7">
      <c r="C250" s="56" t="s">
        <v>341</v>
      </c>
      <c r="D250" s="88" t="s">
        <v>72</v>
      </c>
      <c r="F250" s="94">
        <v>40070</v>
      </c>
      <c r="G250" s="88" t="s">
        <v>78</v>
      </c>
    </row>
    <row r="251" spans="3:7">
      <c r="C251" s="56" t="s">
        <v>342</v>
      </c>
      <c r="D251" s="88" t="s">
        <v>72</v>
      </c>
      <c r="F251" s="94">
        <v>40066</v>
      </c>
      <c r="G251" s="88" t="s">
        <v>78</v>
      </c>
    </row>
    <row r="252" spans="3:7">
      <c r="C252" s="56" t="s">
        <v>343</v>
      </c>
      <c r="D252" s="88" t="s">
        <v>72</v>
      </c>
      <c r="F252" s="94">
        <v>40067</v>
      </c>
      <c r="G252" s="88" t="s">
        <v>78</v>
      </c>
    </row>
    <row r="253" spans="3:7">
      <c r="C253" s="56" t="s">
        <v>344</v>
      </c>
      <c r="D253" s="88" t="s">
        <v>72</v>
      </c>
      <c r="F253" s="94">
        <v>40067</v>
      </c>
      <c r="G253" s="88" t="s">
        <v>78</v>
      </c>
    </row>
    <row r="254" spans="3:7">
      <c r="C254" s="56" t="s">
        <v>345</v>
      </c>
      <c r="D254" s="88" t="s">
        <v>72</v>
      </c>
      <c r="F254" s="94">
        <v>40072</v>
      </c>
      <c r="G254" s="88" t="s">
        <v>78</v>
      </c>
    </row>
    <row r="255" spans="3:7">
      <c r="C255" s="56" t="s">
        <v>346</v>
      </c>
      <c r="D255" s="88" t="s">
        <v>72</v>
      </c>
      <c r="F255" s="94">
        <v>40067</v>
      </c>
      <c r="G255" s="88" t="s">
        <v>78</v>
      </c>
    </row>
    <row r="256" spans="3:7">
      <c r="C256" s="56" t="s">
        <v>347</v>
      </c>
      <c r="D256" s="88" t="s">
        <v>72</v>
      </c>
      <c r="F256" s="94">
        <v>40067</v>
      </c>
      <c r="G256" s="88" t="s">
        <v>78</v>
      </c>
    </row>
    <row r="257" spans="1:7">
      <c r="C257" s="56" t="s">
        <v>348</v>
      </c>
      <c r="D257" s="88" t="s">
        <v>72</v>
      </c>
      <c r="F257" s="94">
        <v>40067</v>
      </c>
      <c r="G257" s="88" t="s">
        <v>78</v>
      </c>
    </row>
    <row r="258" spans="1:7">
      <c r="C258" s="56" t="s">
        <v>349</v>
      </c>
    </row>
    <row r="259" spans="1:7">
      <c r="C259" s="57" t="s">
        <v>210</v>
      </c>
    </row>
    <row r="260" spans="1:7">
      <c r="A260" s="87">
        <f>COUNTA(C234:C259)</f>
        <v>26</v>
      </c>
      <c r="C260" s="58"/>
      <c r="E260" s="178">
        <f>COUNTIF(E234:E259,"Y")</f>
        <v>0</v>
      </c>
    </row>
    <row r="261" spans="1:7">
      <c r="B261" s="83" t="s">
        <v>350</v>
      </c>
    </row>
    <row r="262" spans="1:7">
      <c r="C262" s="55" t="s">
        <v>351</v>
      </c>
      <c r="D262" s="88" t="s">
        <v>72</v>
      </c>
      <c r="F262" s="94">
        <v>39973</v>
      </c>
      <c r="G262" s="88" t="s">
        <v>78</v>
      </c>
    </row>
    <row r="263" spans="1:7">
      <c r="C263" s="57"/>
    </row>
    <row r="264" spans="1:7">
      <c r="A264" s="87">
        <f>COUNTA(C262:C263)</f>
        <v>1</v>
      </c>
      <c r="C264" s="58"/>
      <c r="E264" s="178">
        <f>COUNTIF(E262:E263,"Y")</f>
        <v>0</v>
      </c>
    </row>
    <row r="265" spans="1:7">
      <c r="B265" s="93" t="s">
        <v>352</v>
      </c>
      <c r="C265" s="83"/>
    </row>
    <row r="266" spans="1:7">
      <c r="C266" s="56" t="s">
        <v>353</v>
      </c>
      <c r="D266" s="88" t="s">
        <v>72</v>
      </c>
      <c r="F266" s="94">
        <v>39967</v>
      </c>
      <c r="G266" s="88" t="s">
        <v>78</v>
      </c>
    </row>
    <row r="267" spans="1:7">
      <c r="C267" s="56" t="s">
        <v>354</v>
      </c>
    </row>
    <row r="268" spans="1:7">
      <c r="C268" s="56" t="s">
        <v>355</v>
      </c>
      <c r="D268" s="88" t="s">
        <v>72</v>
      </c>
      <c r="F268" s="94">
        <v>39968</v>
      </c>
      <c r="G268" s="88" t="s">
        <v>78</v>
      </c>
    </row>
    <row r="269" spans="1:7">
      <c r="C269" s="56" t="s">
        <v>356</v>
      </c>
      <c r="D269" s="88" t="s">
        <v>72</v>
      </c>
      <c r="F269" s="94">
        <v>39968</v>
      </c>
      <c r="G269" s="88" t="s">
        <v>78</v>
      </c>
    </row>
    <row r="270" spans="1:7">
      <c r="C270" s="56" t="s">
        <v>357</v>
      </c>
      <c r="D270" s="88" t="s">
        <v>72</v>
      </c>
      <c r="F270" s="94">
        <v>39972</v>
      </c>
      <c r="G270" s="88" t="s">
        <v>78</v>
      </c>
    </row>
    <row r="271" spans="1:7">
      <c r="C271" s="56" t="s">
        <v>358</v>
      </c>
      <c r="D271" s="88" t="s">
        <v>72</v>
      </c>
      <c r="F271" s="94">
        <v>39972</v>
      </c>
      <c r="G271" s="88" t="s">
        <v>78</v>
      </c>
    </row>
    <row r="272" spans="1:7">
      <c r="C272" s="56" t="s">
        <v>359</v>
      </c>
      <c r="D272" s="88" t="s">
        <v>72</v>
      </c>
      <c r="F272" s="94">
        <v>39973</v>
      </c>
      <c r="G272" s="88" t="s">
        <v>78</v>
      </c>
    </row>
    <row r="273" spans="1:14">
      <c r="C273" s="57"/>
    </row>
    <row r="274" spans="1:14">
      <c r="A274" s="87">
        <f>COUNTA(C266:C273)</f>
        <v>7</v>
      </c>
      <c r="C274" s="58"/>
      <c r="E274" s="178">
        <f>COUNTIF(E266:E273,"Y")</f>
        <v>0</v>
      </c>
    </row>
    <row r="275" spans="1:14">
      <c r="B275" s="84" t="s">
        <v>360</v>
      </c>
    </row>
    <row r="276" spans="1:14">
      <c r="C276" s="56" t="s">
        <v>361</v>
      </c>
    </row>
    <row r="277" spans="1:14">
      <c r="C277" s="56" t="s">
        <v>362</v>
      </c>
      <c r="D277" s="88" t="s">
        <v>72</v>
      </c>
      <c r="F277" s="94">
        <v>40252</v>
      </c>
      <c r="G277" s="88" t="s">
        <v>78</v>
      </c>
      <c r="H277" s="178" t="s">
        <v>674</v>
      </c>
      <c r="I277" s="178" t="s">
        <v>707</v>
      </c>
    </row>
    <row r="278" spans="1:14">
      <c r="C278" s="56" t="s">
        <v>363</v>
      </c>
      <c r="D278" s="88" t="s">
        <v>72</v>
      </c>
      <c r="F278" s="94">
        <v>40253</v>
      </c>
      <c r="G278" s="88" t="s">
        <v>78</v>
      </c>
      <c r="H278" s="178" t="s">
        <v>674</v>
      </c>
      <c r="I278" s="178" t="s">
        <v>707</v>
      </c>
    </row>
    <row r="279" spans="1:14">
      <c r="C279" s="56" t="s">
        <v>364</v>
      </c>
      <c r="D279" s="88" t="s">
        <v>72</v>
      </c>
      <c r="F279" s="94">
        <v>40253</v>
      </c>
      <c r="G279" s="88" t="s">
        <v>78</v>
      </c>
      <c r="H279" s="178" t="s">
        <v>674</v>
      </c>
      <c r="I279" s="178" t="s">
        <v>707</v>
      </c>
    </row>
    <row r="280" spans="1:14" s="144" customFormat="1">
      <c r="B280" s="145"/>
      <c r="C280" s="81" t="s">
        <v>365</v>
      </c>
      <c r="D280" s="145" t="s">
        <v>72</v>
      </c>
      <c r="E280" s="145"/>
      <c r="F280" s="146">
        <v>40243</v>
      </c>
      <c r="G280" s="145" t="s">
        <v>78</v>
      </c>
      <c r="H280" s="194" t="s">
        <v>674</v>
      </c>
      <c r="I280" s="194" t="s">
        <v>707</v>
      </c>
      <c r="J280" s="144" t="s">
        <v>366</v>
      </c>
      <c r="K280" s="145"/>
      <c r="L280" s="145"/>
      <c r="M280" s="145"/>
      <c r="N280" s="145"/>
    </row>
    <row r="281" spans="1:14">
      <c r="C281" s="56" t="s">
        <v>367</v>
      </c>
      <c r="D281" s="88" t="s">
        <v>72</v>
      </c>
      <c r="F281" s="94">
        <v>40254</v>
      </c>
      <c r="G281" s="88" t="s">
        <v>78</v>
      </c>
      <c r="H281" s="178" t="s">
        <v>674</v>
      </c>
      <c r="I281" s="178" t="s">
        <v>707</v>
      </c>
    </row>
    <row r="282" spans="1:14">
      <c r="C282" s="56" t="s">
        <v>368</v>
      </c>
      <c r="D282" s="88" t="s">
        <v>72</v>
      </c>
      <c r="F282" s="94">
        <v>40254</v>
      </c>
      <c r="G282" s="88" t="s">
        <v>78</v>
      </c>
      <c r="H282" s="178" t="s">
        <v>674</v>
      </c>
      <c r="I282" s="178" t="s">
        <v>707</v>
      </c>
    </row>
    <row r="283" spans="1:14">
      <c r="C283" s="56"/>
    </row>
    <row r="284" spans="1:14">
      <c r="A284" s="87">
        <f>COUNTA(C276:C283)</f>
        <v>7</v>
      </c>
      <c r="C284" s="55" t="s">
        <v>32</v>
      </c>
      <c r="E284" s="178">
        <f>COUNTIF(E277:E283,"Y")</f>
        <v>0</v>
      </c>
    </row>
    <row r="285" spans="1:14">
      <c r="B285" s="85" t="s">
        <v>369</v>
      </c>
    </row>
    <row r="286" spans="1:14">
      <c r="C286" s="61" t="s">
        <v>370</v>
      </c>
      <c r="D286" s="88" t="s">
        <v>72</v>
      </c>
      <c r="F286" s="94">
        <v>40240</v>
      </c>
      <c r="G286" s="88" t="s">
        <v>78</v>
      </c>
      <c r="H286" s="178" t="s">
        <v>674</v>
      </c>
      <c r="I286" s="178" t="s">
        <v>707</v>
      </c>
    </row>
    <row r="287" spans="1:14">
      <c r="C287" s="62"/>
    </row>
    <row r="288" spans="1:14">
      <c r="A288" s="87">
        <f>COUNTA(C286:C287)</f>
        <v>1</v>
      </c>
      <c r="C288" s="58"/>
      <c r="E288" s="178">
        <f>COUNTIF(E286:E287,"Y")</f>
        <v>0</v>
      </c>
    </row>
    <row r="289" spans="1:10">
      <c r="B289" s="93" t="s">
        <v>371</v>
      </c>
      <c r="C289" s="83"/>
    </row>
    <row r="290" spans="1:10">
      <c r="C290" s="56" t="s">
        <v>372</v>
      </c>
      <c r="D290" s="88" t="s">
        <v>72</v>
      </c>
      <c r="F290" s="94">
        <v>39966</v>
      </c>
      <c r="G290" s="88" t="s">
        <v>78</v>
      </c>
    </row>
    <row r="291" spans="1:10">
      <c r="C291" s="56" t="s">
        <v>373</v>
      </c>
      <c r="D291" s="88" t="s">
        <v>72</v>
      </c>
      <c r="F291" s="94">
        <v>39966</v>
      </c>
      <c r="G291" s="88" t="s">
        <v>78</v>
      </c>
    </row>
    <row r="292" spans="1:10">
      <c r="C292" s="56" t="s">
        <v>374</v>
      </c>
      <c r="D292" s="88" t="s">
        <v>72</v>
      </c>
      <c r="F292" s="94">
        <v>40227</v>
      </c>
      <c r="G292" s="88" t="s">
        <v>78</v>
      </c>
      <c r="H292" s="178" t="s">
        <v>674</v>
      </c>
      <c r="I292" s="178" t="s">
        <v>707</v>
      </c>
    </row>
    <row r="293" spans="1:10">
      <c r="C293" s="56" t="s">
        <v>375</v>
      </c>
      <c r="D293" s="88" t="s">
        <v>72</v>
      </c>
      <c r="F293" s="94">
        <v>39967</v>
      </c>
      <c r="G293" s="88" t="s">
        <v>78</v>
      </c>
    </row>
    <row r="294" spans="1:10">
      <c r="C294" s="56" t="s">
        <v>376</v>
      </c>
      <c r="D294" s="88" t="s">
        <v>72</v>
      </c>
      <c r="F294" s="94">
        <v>39967</v>
      </c>
      <c r="G294" s="88" t="s">
        <v>78</v>
      </c>
    </row>
    <row r="295" spans="1:10">
      <c r="C295" s="56" t="s">
        <v>377</v>
      </c>
    </row>
    <row r="296" spans="1:10">
      <c r="C296" s="56" t="s">
        <v>378</v>
      </c>
      <c r="J296" s="87" t="s">
        <v>379</v>
      </c>
    </row>
    <row r="297" spans="1:10">
      <c r="C297" s="56" t="s">
        <v>380</v>
      </c>
      <c r="J297" s="87" t="s">
        <v>381</v>
      </c>
    </row>
    <row r="298" spans="1:10">
      <c r="C298" s="57"/>
    </row>
    <row r="299" spans="1:10">
      <c r="C299" s="58"/>
    </row>
    <row r="300" spans="1:10">
      <c r="A300" s="87">
        <f>COUNTA(C290:C299)</f>
        <v>8</v>
      </c>
      <c r="C300" s="58"/>
      <c r="E300" s="178">
        <f>COUNTIF(E290:E299,"Y")</f>
        <v>0</v>
      </c>
    </row>
    <row r="301" spans="1:10">
      <c r="B301" s="83" t="s">
        <v>382</v>
      </c>
    </row>
    <row r="302" spans="1:10">
      <c r="C302" s="56" t="s">
        <v>383</v>
      </c>
      <c r="D302" s="88" t="s">
        <v>72</v>
      </c>
      <c r="F302" s="94">
        <v>39888</v>
      </c>
      <c r="G302" s="88" t="s">
        <v>78</v>
      </c>
    </row>
    <row r="303" spans="1:10">
      <c r="C303" s="56" t="s">
        <v>384</v>
      </c>
      <c r="D303" s="88" t="s">
        <v>72</v>
      </c>
      <c r="F303" s="94">
        <v>39888</v>
      </c>
      <c r="G303" s="88" t="s">
        <v>78</v>
      </c>
    </row>
    <row r="304" spans="1:10">
      <c r="C304" s="56" t="s">
        <v>385</v>
      </c>
      <c r="J304" s="87" t="s">
        <v>386</v>
      </c>
    </row>
    <row r="305" spans="1:14">
      <c r="C305" s="56" t="s">
        <v>387</v>
      </c>
      <c r="D305" s="88" t="s">
        <v>72</v>
      </c>
      <c r="F305" s="94">
        <v>39888</v>
      </c>
      <c r="G305" s="88" t="s">
        <v>78</v>
      </c>
    </row>
    <row r="306" spans="1:14">
      <c r="C306" s="56" t="s">
        <v>388</v>
      </c>
      <c r="D306" s="88" t="s">
        <v>72</v>
      </c>
      <c r="F306" s="94">
        <v>39888</v>
      </c>
      <c r="G306" s="88" t="s">
        <v>78</v>
      </c>
    </row>
    <row r="307" spans="1:14">
      <c r="C307" s="56" t="s">
        <v>389</v>
      </c>
      <c r="D307" s="88" t="s">
        <v>72</v>
      </c>
      <c r="F307" s="94">
        <v>39890</v>
      </c>
      <c r="G307" s="88" t="s">
        <v>78</v>
      </c>
    </row>
    <row r="308" spans="1:14">
      <c r="C308" s="56" t="s">
        <v>390</v>
      </c>
      <c r="D308" s="88" t="s">
        <v>72</v>
      </c>
      <c r="F308" s="94">
        <v>39888</v>
      </c>
      <c r="G308" s="88" t="s">
        <v>78</v>
      </c>
    </row>
    <row r="309" spans="1:14" s="37" customFormat="1">
      <c r="B309" s="115"/>
      <c r="C309" s="70" t="s">
        <v>391</v>
      </c>
      <c r="D309" s="115" t="s">
        <v>72</v>
      </c>
      <c r="E309" s="115"/>
      <c r="F309" s="116">
        <v>39966</v>
      </c>
      <c r="G309" s="115" t="s">
        <v>132</v>
      </c>
      <c r="H309" s="115"/>
      <c r="I309" s="115"/>
      <c r="J309" s="37" t="s">
        <v>392</v>
      </c>
      <c r="K309" s="115"/>
      <c r="L309" s="115"/>
      <c r="M309" s="115"/>
      <c r="N309" s="115"/>
    </row>
    <row r="310" spans="1:14">
      <c r="C310" s="56" t="s">
        <v>393</v>
      </c>
      <c r="D310" s="88" t="s">
        <v>72</v>
      </c>
      <c r="F310" s="94">
        <v>39889</v>
      </c>
      <c r="G310" s="88" t="s">
        <v>78</v>
      </c>
    </row>
    <row r="311" spans="1:14" s="37" customFormat="1">
      <c r="B311" s="115"/>
      <c r="C311" s="70" t="s">
        <v>394</v>
      </c>
      <c r="D311" s="115" t="s">
        <v>72</v>
      </c>
      <c r="E311" s="115"/>
      <c r="F311" s="116">
        <v>39966</v>
      </c>
      <c r="G311" s="115" t="s">
        <v>132</v>
      </c>
      <c r="H311" s="115"/>
      <c r="I311" s="115"/>
      <c r="J311" s="37" t="s">
        <v>395</v>
      </c>
      <c r="K311" s="115"/>
      <c r="L311" s="115"/>
      <c r="M311" s="115"/>
      <c r="N311" s="115"/>
    </row>
    <row r="312" spans="1:14">
      <c r="C312" s="56" t="s">
        <v>396</v>
      </c>
      <c r="D312" s="88" t="s">
        <v>72</v>
      </c>
      <c r="F312" s="94">
        <v>39889</v>
      </c>
      <c r="G312" s="88" t="s">
        <v>78</v>
      </c>
    </row>
    <row r="313" spans="1:14">
      <c r="C313" s="56" t="s">
        <v>397</v>
      </c>
      <c r="D313" s="88" t="s">
        <v>72</v>
      </c>
      <c r="F313" s="94">
        <v>39889</v>
      </c>
      <c r="G313" s="88" t="s">
        <v>78</v>
      </c>
    </row>
    <row r="314" spans="1:14">
      <c r="C314" s="56" t="s">
        <v>398</v>
      </c>
      <c r="D314" s="88" t="s">
        <v>72</v>
      </c>
      <c r="F314" s="94">
        <v>39924</v>
      </c>
      <c r="G314" s="88" t="s">
        <v>78</v>
      </c>
      <c r="J314" s="87" t="s">
        <v>399</v>
      </c>
    </row>
    <row r="315" spans="1:14">
      <c r="C315" s="56" t="s">
        <v>400</v>
      </c>
      <c r="D315" s="88" t="s">
        <v>72</v>
      </c>
      <c r="F315" s="94">
        <v>39891</v>
      </c>
      <c r="G315" s="88" t="s">
        <v>78</v>
      </c>
      <c r="J315" s="87" t="s">
        <v>401</v>
      </c>
    </row>
    <row r="316" spans="1:14" s="105" customFormat="1">
      <c r="B316" s="106"/>
      <c r="C316" s="65" t="s">
        <v>402</v>
      </c>
      <c r="D316" s="106" t="s">
        <v>72</v>
      </c>
      <c r="E316" s="106"/>
      <c r="F316" s="107">
        <v>40003</v>
      </c>
      <c r="G316" s="106" t="s">
        <v>78</v>
      </c>
      <c r="H316" s="186"/>
      <c r="I316" s="186"/>
      <c r="K316" s="106"/>
      <c r="L316" s="106"/>
      <c r="M316" s="106"/>
      <c r="N316" s="106"/>
    </row>
    <row r="317" spans="1:14" s="122" customFormat="1">
      <c r="B317" s="123"/>
      <c r="C317" s="69" t="s">
        <v>403</v>
      </c>
      <c r="D317" s="123" t="s">
        <v>72</v>
      </c>
      <c r="E317" s="123"/>
      <c r="F317" s="124">
        <v>39925</v>
      </c>
      <c r="G317" s="123" t="s">
        <v>78</v>
      </c>
      <c r="H317" s="189"/>
      <c r="I317" s="189"/>
      <c r="J317" s="122" t="s">
        <v>404</v>
      </c>
      <c r="K317" s="123"/>
      <c r="L317" s="123"/>
      <c r="M317" s="123"/>
      <c r="N317" s="123"/>
    </row>
    <row r="318" spans="1:14">
      <c r="C318" s="56" t="s">
        <v>405</v>
      </c>
      <c r="D318" s="88" t="s">
        <v>72</v>
      </c>
      <c r="F318" s="94">
        <v>39889</v>
      </c>
      <c r="G318" s="88" t="s">
        <v>78</v>
      </c>
    </row>
    <row r="319" spans="1:14">
      <c r="C319" s="57"/>
    </row>
    <row r="320" spans="1:14">
      <c r="A320" s="87">
        <f>COUNTA(C302:C319)</f>
        <v>17</v>
      </c>
      <c r="C320" s="58"/>
      <c r="E320" s="178">
        <f>COUNTIF(E302:E319,"Y")</f>
        <v>0</v>
      </c>
    </row>
    <row r="321" spans="2:14">
      <c r="B321" s="83" t="s">
        <v>406</v>
      </c>
    </row>
    <row r="322" spans="2:14">
      <c r="C322" s="56" t="s">
        <v>407</v>
      </c>
      <c r="D322" s="88" t="s">
        <v>72</v>
      </c>
      <c r="F322" s="94">
        <v>39874</v>
      </c>
      <c r="G322" s="88" t="s">
        <v>78</v>
      </c>
    </row>
    <row r="323" spans="2:14">
      <c r="C323" s="56" t="s">
        <v>408</v>
      </c>
      <c r="D323" s="88" t="s">
        <v>72</v>
      </c>
      <c r="F323" s="94">
        <v>39874</v>
      </c>
      <c r="G323" s="88" t="s">
        <v>78</v>
      </c>
    </row>
    <row r="324" spans="2:14">
      <c r="C324" s="56" t="s">
        <v>409</v>
      </c>
      <c r="D324" s="88" t="s">
        <v>72</v>
      </c>
      <c r="F324" s="94">
        <v>39874</v>
      </c>
      <c r="G324" s="88" t="s">
        <v>78</v>
      </c>
    </row>
    <row r="325" spans="2:14" s="37" customFormat="1">
      <c r="B325" s="115"/>
      <c r="C325" s="70" t="s">
        <v>410</v>
      </c>
      <c r="D325" s="115" t="s">
        <v>72</v>
      </c>
      <c r="E325" s="115"/>
      <c r="F325" s="116">
        <v>39875</v>
      </c>
      <c r="G325" s="115" t="s">
        <v>78</v>
      </c>
      <c r="H325" s="115"/>
      <c r="I325" s="115"/>
      <c r="K325" s="115"/>
      <c r="L325" s="115"/>
      <c r="M325" s="115"/>
      <c r="N325" s="115"/>
    </row>
    <row r="326" spans="2:14">
      <c r="C326" s="56" t="s">
        <v>411</v>
      </c>
      <c r="D326" s="88" t="s">
        <v>72</v>
      </c>
      <c r="F326" s="94">
        <v>39885</v>
      </c>
      <c r="G326" s="88" t="s">
        <v>78</v>
      </c>
    </row>
    <row r="327" spans="2:14">
      <c r="C327" s="56" t="s">
        <v>412</v>
      </c>
      <c r="D327" s="88" t="s">
        <v>72</v>
      </c>
      <c r="F327" s="94">
        <v>39876</v>
      </c>
      <c r="G327" s="88" t="s">
        <v>78</v>
      </c>
    </row>
    <row r="328" spans="2:14">
      <c r="C328" s="56" t="s">
        <v>413</v>
      </c>
      <c r="D328" s="88" t="s">
        <v>32</v>
      </c>
    </row>
    <row r="329" spans="2:14">
      <c r="C329" s="56" t="s">
        <v>414</v>
      </c>
      <c r="D329" s="88" t="s">
        <v>72</v>
      </c>
      <c r="F329" s="94">
        <v>39885</v>
      </c>
      <c r="G329" s="88" t="s">
        <v>78</v>
      </c>
    </row>
    <row r="330" spans="2:14">
      <c r="C330" s="56" t="s">
        <v>415</v>
      </c>
      <c r="D330" s="88" t="s">
        <v>72</v>
      </c>
      <c r="F330" s="94">
        <v>40227</v>
      </c>
      <c r="G330" s="88" t="s">
        <v>78</v>
      </c>
      <c r="H330" s="178" t="s">
        <v>674</v>
      </c>
      <c r="I330" s="178" t="s">
        <v>707</v>
      </c>
    </row>
    <row r="331" spans="2:14" s="105" customFormat="1">
      <c r="B331" s="106"/>
      <c r="C331" s="65" t="s">
        <v>416</v>
      </c>
      <c r="D331" s="106" t="s">
        <v>72</v>
      </c>
      <c r="E331" s="106"/>
      <c r="F331" s="107">
        <v>39896</v>
      </c>
      <c r="G331" s="106" t="s">
        <v>78</v>
      </c>
      <c r="H331" s="186"/>
      <c r="I331" s="186"/>
      <c r="J331" s="105" t="s">
        <v>32</v>
      </c>
      <c r="K331" s="106" t="s">
        <v>32</v>
      </c>
      <c r="L331" s="106"/>
      <c r="M331" s="106"/>
      <c r="N331" s="106"/>
    </row>
    <row r="332" spans="2:14">
      <c r="C332" s="56" t="s">
        <v>417</v>
      </c>
      <c r="D332" s="88" t="s">
        <v>72</v>
      </c>
      <c r="F332" s="94">
        <v>39877</v>
      </c>
      <c r="G332" s="88" t="s">
        <v>78</v>
      </c>
      <c r="J332" s="87" t="s">
        <v>418</v>
      </c>
    </row>
    <row r="333" spans="2:14" s="139" customFormat="1">
      <c r="B333" s="115"/>
      <c r="C333" s="70" t="s">
        <v>419</v>
      </c>
      <c r="D333" s="115" t="s">
        <v>72</v>
      </c>
      <c r="E333" s="115"/>
      <c r="F333" s="116">
        <v>39877</v>
      </c>
      <c r="G333" s="115" t="s">
        <v>78</v>
      </c>
      <c r="H333" s="115"/>
      <c r="I333" s="115"/>
      <c r="J333" s="139" t="s">
        <v>420</v>
      </c>
      <c r="K333" s="142" t="s">
        <v>421</v>
      </c>
      <c r="L333" s="142"/>
      <c r="M333" s="142"/>
      <c r="N333" s="142"/>
    </row>
    <row r="334" spans="2:14">
      <c r="C334" s="56" t="s">
        <v>422</v>
      </c>
      <c r="D334" s="88" t="s">
        <v>72</v>
      </c>
      <c r="F334" s="94">
        <v>39882</v>
      </c>
      <c r="G334" s="88" t="s">
        <v>78</v>
      </c>
    </row>
    <row r="335" spans="2:14">
      <c r="C335" s="56" t="s">
        <v>423</v>
      </c>
      <c r="D335" s="88" t="s">
        <v>32</v>
      </c>
      <c r="J335" s="87" t="s">
        <v>424</v>
      </c>
    </row>
    <row r="336" spans="2:14" s="105" customFormat="1">
      <c r="B336" s="106"/>
      <c r="C336" s="65" t="s">
        <v>425</v>
      </c>
      <c r="D336" s="106" t="s">
        <v>72</v>
      </c>
      <c r="E336" s="106"/>
      <c r="F336" s="107">
        <v>39882</v>
      </c>
      <c r="G336" s="106" t="s">
        <v>78</v>
      </c>
      <c r="H336" s="186"/>
      <c r="I336" s="186"/>
      <c r="J336" s="105" t="s">
        <v>32</v>
      </c>
      <c r="K336" s="106" t="s">
        <v>32</v>
      </c>
      <c r="L336" s="106" t="s">
        <v>32</v>
      </c>
      <c r="M336" s="107" t="s">
        <v>32</v>
      </c>
      <c r="N336" s="106" t="s">
        <v>32</v>
      </c>
    </row>
    <row r="337" spans="1:14">
      <c r="C337" s="56" t="s">
        <v>426</v>
      </c>
      <c r="D337" s="88" t="s">
        <v>72</v>
      </c>
      <c r="F337" s="94">
        <v>39883</v>
      </c>
      <c r="G337" s="88" t="s">
        <v>78</v>
      </c>
      <c r="J337" s="87" t="s">
        <v>32</v>
      </c>
    </row>
    <row r="338" spans="1:14">
      <c r="C338" s="56" t="s">
        <v>427</v>
      </c>
      <c r="D338" s="88" t="s">
        <v>72</v>
      </c>
      <c r="F338" s="94">
        <v>39888</v>
      </c>
      <c r="G338" s="88" t="s">
        <v>78</v>
      </c>
      <c r="J338" s="87" t="s">
        <v>32</v>
      </c>
    </row>
    <row r="339" spans="1:14">
      <c r="C339" s="56" t="s">
        <v>428</v>
      </c>
      <c r="D339" s="88" t="s">
        <v>72</v>
      </c>
      <c r="F339" s="94">
        <v>39883</v>
      </c>
      <c r="G339" s="88" t="s">
        <v>78</v>
      </c>
    </row>
    <row r="340" spans="1:14">
      <c r="C340" s="56" t="s">
        <v>429</v>
      </c>
      <c r="D340" s="88" t="s">
        <v>72</v>
      </c>
      <c r="F340" s="94">
        <v>39924</v>
      </c>
      <c r="G340" s="88" t="s">
        <v>78</v>
      </c>
    </row>
    <row r="341" spans="1:14">
      <c r="C341" s="56" t="s">
        <v>430</v>
      </c>
      <c r="D341" s="88" t="s">
        <v>72</v>
      </c>
      <c r="F341" s="94">
        <v>39883</v>
      </c>
      <c r="G341" s="88" t="s">
        <v>78</v>
      </c>
    </row>
    <row r="342" spans="1:14" s="105" customFormat="1">
      <c r="B342" s="106"/>
      <c r="C342" s="65" t="s">
        <v>431</v>
      </c>
      <c r="D342" s="106" t="s">
        <v>72</v>
      </c>
      <c r="E342" s="106"/>
      <c r="F342" s="107">
        <v>39895</v>
      </c>
      <c r="G342" s="106" t="s">
        <v>78</v>
      </c>
      <c r="H342" s="186"/>
      <c r="I342" s="186"/>
      <c r="J342" s="147"/>
      <c r="K342" s="106" t="s">
        <v>432</v>
      </c>
      <c r="L342" s="106" t="s">
        <v>433</v>
      </c>
      <c r="M342" s="107">
        <v>39892</v>
      </c>
      <c r="N342" s="106" t="s">
        <v>132</v>
      </c>
    </row>
    <row r="343" spans="1:14">
      <c r="A343" s="87">
        <f>COUNTA(C322:C342)</f>
        <v>21</v>
      </c>
      <c r="E343" s="178">
        <f>COUNTIF(E322:E342,"Y")</f>
        <v>0</v>
      </c>
    </row>
    <row r="344" spans="1:14">
      <c r="C344" s="87" t="s">
        <v>434</v>
      </c>
      <c r="D344" s="148">
        <f>SUM(A5:A343)</f>
        <v>285</v>
      </c>
    </row>
    <row r="345" spans="1:14">
      <c r="C345" s="87" t="s">
        <v>435</v>
      </c>
      <c r="D345" s="88">
        <f>COUNTIF(D3:D342,"X")</f>
        <v>248</v>
      </c>
    </row>
    <row r="346" spans="1:14">
      <c r="C346" s="87" t="s">
        <v>436</v>
      </c>
      <c r="D346" s="149">
        <f>SUM(D345/D344)</f>
        <v>0.87017543859649127</v>
      </c>
    </row>
    <row r="347" spans="1:14">
      <c r="C347" s="177" t="s">
        <v>683</v>
      </c>
      <c r="D347" s="88">
        <f>COUNTIF(E3:E342,"y")</f>
        <v>0</v>
      </c>
    </row>
    <row r="348" spans="1:14">
      <c r="C348" s="87" t="s">
        <v>437</v>
      </c>
      <c r="D348" s="150">
        <f>D344-D347</f>
        <v>285</v>
      </c>
    </row>
    <row r="350" spans="1:14">
      <c r="A350" s="199">
        <f>COUNTIF(I3:I343,"ClaudieQ1")</f>
        <v>21</v>
      </c>
      <c r="C350" s="177" t="s">
        <v>712</v>
      </c>
    </row>
    <row r="351" spans="1:14">
      <c r="A351" s="199">
        <f>COUNTIF(I3:I343,"ClaudieQ2")</f>
        <v>0</v>
      </c>
      <c r="C351" s="177" t="s">
        <v>713</v>
      </c>
    </row>
    <row r="352" spans="1:14">
      <c r="A352" s="199">
        <f>COUNTIF(I3:I343,"ClaudieQ3")</f>
        <v>0</v>
      </c>
      <c r="C352" s="177" t="s">
        <v>714</v>
      </c>
    </row>
    <row r="353" spans="1:3">
      <c r="A353" s="199">
        <f>COUNTIF(I3:I343,"ClaudieQ4")</f>
        <v>0</v>
      </c>
      <c r="C353" s="177" t="s">
        <v>715</v>
      </c>
    </row>
    <row r="355" spans="1:3">
      <c r="A355" s="199">
        <f>COUNTIF(I3:I342,"LisaQ2")</f>
        <v>0</v>
      </c>
      <c r="C355" s="177" t="s">
        <v>708</v>
      </c>
    </row>
    <row r="356" spans="1:3">
      <c r="A356" s="199">
        <f>COUNTIF(I3:I343,"LisaQ2")</f>
        <v>0</v>
      </c>
      <c r="C356" s="177" t="s">
        <v>709</v>
      </c>
    </row>
    <row r="357" spans="1:3">
      <c r="A357" s="199">
        <f>COUNTIF(I3:I343,"LisaQ3")</f>
        <v>0</v>
      </c>
      <c r="C357" s="177" t="s">
        <v>710</v>
      </c>
    </row>
    <row r="358" spans="1:3">
      <c r="A358" s="199">
        <f>COUNTIF(I3:I343,"LisaQ4")</f>
        <v>0</v>
      </c>
      <c r="C358" s="177" t="s">
        <v>711</v>
      </c>
    </row>
    <row r="360" spans="1:3">
      <c r="A360" s="199">
        <f>COUNTIF(I3:I343,"ScottQ1")</f>
        <v>0</v>
      </c>
      <c r="C360" s="177" t="s">
        <v>716</v>
      </c>
    </row>
    <row r="361" spans="1:3">
      <c r="A361" s="199">
        <f>COUNTIF(I3:I343,"ScottQ2")</f>
        <v>0</v>
      </c>
      <c r="C361" s="177" t="s">
        <v>717</v>
      </c>
    </row>
    <row r="362" spans="1:3">
      <c r="A362" s="199">
        <f>COUNTIF(I3:I343,"ScottQ3")</f>
        <v>0</v>
      </c>
      <c r="C362" s="177" t="s">
        <v>718</v>
      </c>
    </row>
    <row r="363" spans="1:3">
      <c r="A363" s="199">
        <f>COUNTIF(I3:I343,"ScottQ4")</f>
        <v>0</v>
      </c>
      <c r="C363" s="177" t="s">
        <v>719</v>
      </c>
    </row>
  </sheetData>
  <sortState ref="A113:I145">
    <sortCondition ref="F113:F1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46"/>
  <sheetViews>
    <sheetView workbookViewId="0">
      <pane ySplit="1" topLeftCell="A219" activePane="bottomLeft" state="frozen"/>
      <selection pane="bottomLeft" activeCell="B144" sqref="B144"/>
    </sheetView>
  </sheetViews>
  <sheetFormatPr defaultRowHeight="12.75"/>
  <cols>
    <col min="1" max="1" width="10.85546875" style="172" bestFit="1" customWidth="1"/>
    <col min="2" max="2" width="25.5703125" style="160" bestFit="1" customWidth="1"/>
    <col min="3" max="3" width="16.5703125" bestFit="1" customWidth="1"/>
    <col min="4" max="4" width="16.140625" style="165" customWidth="1"/>
    <col min="5" max="5" width="9.140625" style="165"/>
    <col min="6" max="6" width="12.42578125" hidden="1" customWidth="1"/>
    <col min="7" max="7" width="13.42578125" style="165" customWidth="1"/>
    <col min="8" max="8" width="11.28515625" style="165" customWidth="1"/>
    <col min="9" max="9" width="10.7109375" customWidth="1"/>
    <col min="11" max="11" width="8.85546875" customWidth="1"/>
    <col min="13" max="13" width="10.5703125" hidden="1" customWidth="1"/>
    <col min="14" max="14" width="37" customWidth="1"/>
    <col min="17" max="17" width="0" hidden="1" customWidth="1"/>
  </cols>
  <sheetData>
    <row r="1" spans="1:14" s="163" customFormat="1" ht="38.25">
      <c r="A1" s="164" t="s">
        <v>671</v>
      </c>
      <c r="B1" s="195" t="s">
        <v>459</v>
      </c>
      <c r="C1" s="196" t="s">
        <v>460</v>
      </c>
      <c r="D1" s="196" t="s">
        <v>461</v>
      </c>
      <c r="E1" s="166" t="s">
        <v>681</v>
      </c>
      <c r="F1" s="196" t="s">
        <v>66</v>
      </c>
      <c r="G1" s="196" t="s">
        <v>720</v>
      </c>
      <c r="H1" s="196" t="s">
        <v>672</v>
      </c>
      <c r="I1" s="171" t="s">
        <v>462</v>
      </c>
      <c r="J1" s="171" t="s">
        <v>463</v>
      </c>
      <c r="K1" s="170" t="s">
        <v>464</v>
      </c>
      <c r="L1" s="170" t="s">
        <v>465</v>
      </c>
      <c r="M1" s="169" t="s">
        <v>466</v>
      </c>
      <c r="N1" s="267" t="s">
        <v>466</v>
      </c>
    </row>
    <row r="2" spans="1:14">
      <c r="A2" s="172" t="s">
        <v>31</v>
      </c>
      <c r="B2" s="198" t="s">
        <v>467</v>
      </c>
      <c r="C2" s="172"/>
      <c r="F2" s="172"/>
      <c r="G2" s="201"/>
      <c r="I2" s="201"/>
      <c r="J2" s="200" t="s">
        <v>32</v>
      </c>
      <c r="K2" s="200"/>
      <c r="L2" s="172"/>
      <c r="M2" s="172"/>
    </row>
    <row r="3" spans="1:14">
      <c r="B3" s="172"/>
      <c r="C3" s="199" t="s">
        <v>468</v>
      </c>
      <c r="D3" s="201" t="s">
        <v>469</v>
      </c>
      <c r="F3" s="201"/>
      <c r="G3" s="165" t="s">
        <v>704</v>
      </c>
      <c r="H3" s="201" t="s">
        <v>15</v>
      </c>
      <c r="I3" s="200">
        <v>4</v>
      </c>
      <c r="J3" s="200"/>
      <c r="K3" s="172"/>
      <c r="L3" s="172"/>
      <c r="M3" s="172"/>
    </row>
    <row r="4" spans="1:14" ht="25.5">
      <c r="B4" s="172"/>
      <c r="C4" s="201" t="s">
        <v>470</v>
      </c>
      <c r="F4" s="172"/>
      <c r="I4" s="200">
        <v>4</v>
      </c>
      <c r="J4" s="200"/>
      <c r="K4" s="172"/>
      <c r="L4" s="172"/>
      <c r="M4" s="198" t="s">
        <v>471</v>
      </c>
    </row>
    <row r="5" spans="1:14" ht="25.5" hidden="1">
      <c r="B5" s="172"/>
      <c r="C5" s="201" t="s">
        <v>472</v>
      </c>
      <c r="F5" s="172"/>
      <c r="I5" s="200">
        <v>4</v>
      </c>
      <c r="J5" s="200"/>
      <c r="K5" s="172"/>
      <c r="L5" s="172"/>
      <c r="M5" s="172"/>
    </row>
    <row r="6" spans="1:14" ht="25.5">
      <c r="B6" s="172"/>
      <c r="C6" s="201" t="s">
        <v>473</v>
      </c>
      <c r="F6" s="172"/>
      <c r="I6" s="200">
        <v>4</v>
      </c>
      <c r="J6" s="200"/>
      <c r="K6" s="172"/>
      <c r="L6" s="172"/>
      <c r="M6" s="172"/>
    </row>
    <row r="7" spans="1:14">
      <c r="B7" s="172"/>
      <c r="C7" s="199" t="s">
        <v>474</v>
      </c>
      <c r="F7" s="172"/>
      <c r="I7" s="200">
        <v>4</v>
      </c>
      <c r="J7" s="200"/>
      <c r="K7" s="172"/>
      <c r="L7" s="172"/>
      <c r="M7" s="172"/>
    </row>
    <row r="8" spans="1:14">
      <c r="B8" s="172"/>
      <c r="C8" s="199" t="s">
        <v>475</v>
      </c>
      <c r="F8" s="172"/>
      <c r="I8" s="200">
        <v>4</v>
      </c>
      <c r="J8" s="200"/>
      <c r="K8" s="200">
        <v>24</v>
      </c>
      <c r="L8" s="172"/>
      <c r="M8" s="172"/>
    </row>
    <row r="9" spans="1:14" s="172" customFormat="1">
      <c r="A9" s="172">
        <f>COUNTA(C3:C8)</f>
        <v>6</v>
      </c>
      <c r="C9" s="199"/>
      <c r="D9" s="165"/>
      <c r="E9" s="165">
        <f>COUNTIF(E3:E8,"Y")</f>
        <v>0</v>
      </c>
      <c r="G9" s="165"/>
      <c r="H9" s="165"/>
      <c r="I9" s="200"/>
      <c r="J9" s="200"/>
      <c r="K9" s="200"/>
    </row>
    <row r="10" spans="1:14">
      <c r="A10" s="172" t="s">
        <v>31</v>
      </c>
      <c r="B10" s="198" t="s">
        <v>476</v>
      </c>
      <c r="C10" s="172"/>
      <c r="F10" s="172"/>
      <c r="G10" s="201"/>
      <c r="I10" s="200"/>
      <c r="J10" s="200"/>
      <c r="K10" s="172"/>
      <c r="L10" s="172"/>
      <c r="M10" s="172"/>
    </row>
    <row r="11" spans="1:14">
      <c r="B11" s="172"/>
      <c r="C11" s="199" t="s">
        <v>477</v>
      </c>
      <c r="D11" s="201" t="s">
        <v>478</v>
      </c>
      <c r="F11" s="201"/>
      <c r="H11" s="201"/>
      <c r="I11" s="200">
        <v>2</v>
      </c>
      <c r="J11" s="200"/>
      <c r="K11" s="172"/>
      <c r="L11" s="172"/>
      <c r="M11" s="172"/>
    </row>
    <row r="12" spans="1:14">
      <c r="B12" s="172"/>
      <c r="C12" s="199" t="s">
        <v>479</v>
      </c>
      <c r="F12" s="172"/>
      <c r="I12" s="200">
        <v>2</v>
      </c>
      <c r="J12" s="200"/>
      <c r="K12" s="172"/>
      <c r="L12" s="172"/>
      <c r="M12" s="172"/>
    </row>
    <row r="13" spans="1:14">
      <c r="B13" s="172"/>
      <c r="C13" s="199" t="s">
        <v>480</v>
      </c>
      <c r="F13" s="172"/>
      <c r="I13" s="200">
        <v>2</v>
      </c>
      <c r="J13" s="200"/>
      <c r="K13" s="172"/>
      <c r="L13" s="172"/>
      <c r="M13" s="172"/>
    </row>
    <row r="14" spans="1:14">
      <c r="B14" s="172"/>
      <c r="C14" s="199" t="s">
        <v>481</v>
      </c>
      <c r="F14" s="172"/>
      <c r="I14" s="200">
        <v>2</v>
      </c>
      <c r="J14" s="200"/>
      <c r="K14" s="172"/>
      <c r="L14" s="172"/>
      <c r="M14" s="172"/>
    </row>
    <row r="15" spans="1:14">
      <c r="B15" s="172"/>
      <c r="C15" s="199" t="s">
        <v>482</v>
      </c>
      <c r="F15" s="172"/>
      <c r="I15" s="200">
        <v>2</v>
      </c>
      <c r="J15" s="200"/>
      <c r="K15" s="172"/>
      <c r="L15" s="172"/>
      <c r="M15" s="172"/>
    </row>
    <row r="16" spans="1:14">
      <c r="B16" s="172"/>
      <c r="C16" s="199" t="s">
        <v>483</v>
      </c>
      <c r="F16" s="172"/>
      <c r="I16" s="200">
        <v>2</v>
      </c>
      <c r="J16" s="200"/>
      <c r="K16" s="172"/>
      <c r="L16" s="172"/>
      <c r="M16" s="172"/>
    </row>
    <row r="17" spans="1:13">
      <c r="B17" s="172"/>
      <c r="C17" s="199" t="s">
        <v>484</v>
      </c>
      <c r="F17" s="172"/>
      <c r="I17" s="200">
        <v>2</v>
      </c>
      <c r="J17" s="200"/>
      <c r="K17" s="172"/>
      <c r="L17" s="172"/>
      <c r="M17" s="172"/>
    </row>
    <row r="18" spans="1:13">
      <c r="B18" s="172"/>
      <c r="C18" s="199" t="s">
        <v>485</v>
      </c>
      <c r="F18" s="172"/>
      <c r="I18" s="200">
        <v>2</v>
      </c>
      <c r="J18" s="200"/>
      <c r="K18" s="172"/>
    </row>
    <row r="19" spans="1:13">
      <c r="B19" s="172"/>
      <c r="C19" s="199" t="s">
        <v>486</v>
      </c>
      <c r="F19" s="172"/>
      <c r="I19" s="200">
        <v>2</v>
      </c>
      <c r="J19" s="200"/>
      <c r="K19" s="172"/>
    </row>
    <row r="20" spans="1:13">
      <c r="B20" s="172"/>
      <c r="C20" s="199" t="s">
        <v>487</v>
      </c>
      <c r="F20" s="172"/>
      <c r="I20" s="200">
        <v>2</v>
      </c>
      <c r="J20" s="200"/>
      <c r="K20" s="200">
        <v>20</v>
      </c>
    </row>
    <row r="21" spans="1:13" s="172" customFormat="1">
      <c r="A21" s="172">
        <f>COUNTA(C10:C20)</f>
        <v>10</v>
      </c>
      <c r="C21" s="199"/>
      <c r="D21" s="165"/>
      <c r="E21" s="165"/>
      <c r="G21" s="165"/>
      <c r="H21" s="165"/>
      <c r="I21" s="200"/>
      <c r="J21" s="200"/>
      <c r="K21" s="200"/>
    </row>
    <row r="22" spans="1:13">
      <c r="A22" s="172" t="s">
        <v>31</v>
      </c>
      <c r="B22" s="198" t="s">
        <v>488</v>
      </c>
      <c r="C22" s="172"/>
      <c r="E22" s="165">
        <f>COUNTIF(E11:E21,"Y")</f>
        <v>0</v>
      </c>
      <c r="F22" s="172"/>
      <c r="G22" s="201"/>
      <c r="I22" s="200"/>
      <c r="J22" s="200"/>
      <c r="K22" s="172"/>
    </row>
    <row r="23" spans="1:13">
      <c r="B23" s="172"/>
      <c r="C23" s="199" t="s">
        <v>489</v>
      </c>
      <c r="F23" s="172"/>
      <c r="I23" s="200">
        <v>2</v>
      </c>
      <c r="J23" s="200"/>
      <c r="K23" s="172"/>
    </row>
    <row r="24" spans="1:13">
      <c r="B24" s="172"/>
      <c r="C24" s="199" t="s">
        <v>490</v>
      </c>
      <c r="F24" s="172"/>
      <c r="I24" s="200">
        <v>2</v>
      </c>
      <c r="J24" s="200"/>
      <c r="K24" s="172"/>
    </row>
    <row r="25" spans="1:13">
      <c r="B25" s="172"/>
      <c r="C25" s="199" t="s">
        <v>491</v>
      </c>
      <c r="D25" s="209"/>
      <c r="F25" s="209"/>
      <c r="H25" s="209"/>
      <c r="I25" s="200">
        <v>2</v>
      </c>
      <c r="J25" s="200"/>
      <c r="K25" s="172"/>
    </row>
    <row r="26" spans="1:13">
      <c r="B26" s="172"/>
      <c r="C26" s="199" t="s">
        <v>492</v>
      </c>
      <c r="F26" s="172"/>
      <c r="I26" s="200">
        <v>2</v>
      </c>
      <c r="J26" s="200"/>
      <c r="K26" s="172"/>
    </row>
    <row r="27" spans="1:13">
      <c r="B27" s="172"/>
      <c r="C27" s="199" t="s">
        <v>493</v>
      </c>
      <c r="F27" s="172"/>
      <c r="I27" s="200">
        <v>2</v>
      </c>
      <c r="J27" s="200"/>
      <c r="K27" s="172"/>
    </row>
    <row r="28" spans="1:13">
      <c r="B28" s="172"/>
      <c r="C28" s="199" t="s">
        <v>494</v>
      </c>
      <c r="F28" s="172"/>
      <c r="I28" s="200">
        <v>2</v>
      </c>
      <c r="J28" s="200"/>
      <c r="K28" s="172"/>
    </row>
    <row r="29" spans="1:13">
      <c r="B29" s="172"/>
      <c r="C29" s="199" t="s">
        <v>495</v>
      </c>
      <c r="F29" s="172"/>
      <c r="I29" s="200">
        <v>2</v>
      </c>
      <c r="J29" s="200"/>
      <c r="K29" s="172"/>
    </row>
    <row r="30" spans="1:13">
      <c r="B30" s="172"/>
      <c r="C30" s="199" t="s">
        <v>496</v>
      </c>
      <c r="D30" s="209"/>
      <c r="F30" s="209"/>
      <c r="H30" s="209"/>
      <c r="I30" s="200">
        <v>2</v>
      </c>
      <c r="J30" s="200"/>
      <c r="K30" s="172"/>
    </row>
    <row r="31" spans="1:13">
      <c r="B31" s="172"/>
      <c r="C31" s="199" t="s">
        <v>497</v>
      </c>
      <c r="F31" s="172"/>
      <c r="I31" s="200">
        <v>2</v>
      </c>
      <c r="J31" s="200"/>
      <c r="K31" s="172"/>
    </row>
    <row r="32" spans="1:13">
      <c r="B32" s="172"/>
      <c r="C32" s="199" t="s">
        <v>498</v>
      </c>
      <c r="F32" s="172"/>
      <c r="I32" s="200">
        <v>2</v>
      </c>
      <c r="J32" s="200"/>
      <c r="K32" s="172"/>
    </row>
    <row r="33" spans="1:11">
      <c r="B33" s="172"/>
      <c r="C33" s="199" t="s">
        <v>499</v>
      </c>
      <c r="F33" s="172"/>
      <c r="I33" s="200">
        <v>2</v>
      </c>
      <c r="J33" s="200"/>
      <c r="K33" s="172"/>
    </row>
    <row r="34" spans="1:11">
      <c r="B34" s="172"/>
      <c r="C34" s="199" t="s">
        <v>500</v>
      </c>
      <c r="F34" s="172"/>
      <c r="I34" s="200">
        <v>2</v>
      </c>
      <c r="J34" s="200"/>
      <c r="K34" s="172"/>
    </row>
    <row r="35" spans="1:11">
      <c r="B35" s="172"/>
      <c r="C35" s="199" t="s">
        <v>501</v>
      </c>
      <c r="F35" s="172"/>
      <c r="I35" s="200">
        <v>2</v>
      </c>
      <c r="J35" s="200"/>
      <c r="K35" s="172"/>
    </row>
    <row r="36" spans="1:11">
      <c r="B36" s="172"/>
      <c r="C36" s="199" t="s">
        <v>502</v>
      </c>
      <c r="F36" s="172"/>
      <c r="I36" s="200">
        <v>2</v>
      </c>
      <c r="J36" s="200"/>
      <c r="K36" s="172"/>
    </row>
    <row r="37" spans="1:11">
      <c r="B37" s="172"/>
      <c r="C37" s="199" t="s">
        <v>503</v>
      </c>
      <c r="F37" s="172"/>
      <c r="I37" s="200">
        <v>2</v>
      </c>
      <c r="J37" s="200"/>
      <c r="K37" s="172"/>
    </row>
    <row r="38" spans="1:11">
      <c r="B38" s="172"/>
      <c r="C38" s="199" t="s">
        <v>504</v>
      </c>
      <c r="F38" s="172"/>
      <c r="I38" s="200">
        <v>2</v>
      </c>
      <c r="J38" s="200"/>
      <c r="K38" s="172"/>
    </row>
    <row r="39" spans="1:11">
      <c r="B39" s="172"/>
      <c r="C39" s="199" t="s">
        <v>505</v>
      </c>
      <c r="F39" s="172"/>
      <c r="I39" s="200">
        <v>2</v>
      </c>
      <c r="J39" s="200"/>
      <c r="K39" s="172"/>
    </row>
    <row r="40" spans="1:11">
      <c r="B40" s="172"/>
      <c r="C40" s="199" t="s">
        <v>506</v>
      </c>
      <c r="F40" s="172"/>
      <c r="I40" s="200">
        <v>2</v>
      </c>
      <c r="J40" s="200"/>
      <c r="K40" s="172"/>
    </row>
    <row r="41" spans="1:11">
      <c r="B41" s="172"/>
      <c r="C41" s="199" t="s">
        <v>507</v>
      </c>
      <c r="F41" s="172"/>
      <c r="I41" s="200">
        <v>2</v>
      </c>
      <c r="J41" s="200"/>
      <c r="K41" s="172"/>
    </row>
    <row r="42" spans="1:11">
      <c r="B42" s="172"/>
      <c r="C42" s="199" t="s">
        <v>508</v>
      </c>
      <c r="F42" s="172"/>
      <c r="I42" s="200">
        <v>2</v>
      </c>
      <c r="J42" s="200"/>
      <c r="K42" s="172"/>
    </row>
    <row r="43" spans="1:11">
      <c r="B43" s="172"/>
      <c r="C43" s="199" t="s">
        <v>509</v>
      </c>
      <c r="F43" s="172"/>
      <c r="I43" s="200">
        <v>2</v>
      </c>
      <c r="J43" s="200"/>
      <c r="K43" s="200">
        <v>44</v>
      </c>
    </row>
    <row r="44" spans="1:11">
      <c r="B44" s="172"/>
      <c r="C44" s="199" t="s">
        <v>510</v>
      </c>
      <c r="F44" s="172"/>
      <c r="I44" s="200">
        <v>2</v>
      </c>
      <c r="J44" s="200"/>
      <c r="K44" s="172"/>
    </row>
    <row r="45" spans="1:11" s="172" customFormat="1">
      <c r="A45" s="172">
        <f>COUNTA(C23:C44)</f>
        <v>22</v>
      </c>
      <c r="C45" s="199"/>
      <c r="D45" s="165"/>
      <c r="E45" s="165">
        <f>COUNTIF(E23:E44,"Y")</f>
        <v>0</v>
      </c>
      <c r="G45" s="165"/>
      <c r="H45" s="165"/>
      <c r="I45" s="200"/>
      <c r="J45" s="200"/>
    </row>
    <row r="46" spans="1:11">
      <c r="A46" s="172" t="s">
        <v>31</v>
      </c>
      <c r="B46" s="198" t="s">
        <v>511</v>
      </c>
      <c r="C46" s="172"/>
      <c r="F46" s="172"/>
      <c r="G46" s="201"/>
      <c r="I46" s="200"/>
      <c r="J46" s="200"/>
      <c r="K46" s="172"/>
    </row>
    <row r="47" spans="1:11">
      <c r="B47" s="172"/>
      <c r="C47" s="199" t="s">
        <v>512</v>
      </c>
      <c r="F47" s="172"/>
      <c r="I47" s="200">
        <v>2</v>
      </c>
      <c r="J47" s="200"/>
      <c r="K47" s="172"/>
    </row>
    <row r="48" spans="1:11">
      <c r="B48" s="172"/>
      <c r="C48" s="199" t="s">
        <v>513</v>
      </c>
      <c r="F48" s="172"/>
      <c r="I48" s="200">
        <v>2</v>
      </c>
      <c r="J48" s="200"/>
      <c r="K48" s="172"/>
    </row>
    <row r="49" spans="2:11">
      <c r="B49" s="172"/>
      <c r="C49" s="199" t="s">
        <v>514</v>
      </c>
      <c r="F49" s="172"/>
      <c r="I49" s="200">
        <v>2</v>
      </c>
      <c r="J49" s="200"/>
      <c r="K49" s="172"/>
    </row>
    <row r="50" spans="2:11">
      <c r="B50" s="172"/>
      <c r="C50" s="199" t="s">
        <v>515</v>
      </c>
      <c r="F50" s="172"/>
      <c r="I50" s="200">
        <v>2</v>
      </c>
      <c r="J50" s="200"/>
      <c r="K50" s="172"/>
    </row>
    <row r="51" spans="2:11">
      <c r="B51" s="172"/>
      <c r="C51" s="199" t="s">
        <v>516</v>
      </c>
      <c r="F51" s="172"/>
      <c r="I51" s="200">
        <v>2</v>
      </c>
      <c r="J51" s="200"/>
      <c r="K51" s="172"/>
    </row>
    <row r="52" spans="2:11">
      <c r="B52" s="172"/>
      <c r="C52" s="199" t="s">
        <v>517</v>
      </c>
      <c r="F52" s="172"/>
      <c r="I52" s="200">
        <v>2</v>
      </c>
      <c r="J52" s="200"/>
      <c r="K52" s="172"/>
    </row>
    <row r="53" spans="2:11">
      <c r="B53" s="172"/>
      <c r="C53" s="199" t="s">
        <v>518</v>
      </c>
      <c r="F53" s="172"/>
      <c r="I53" s="200">
        <v>2</v>
      </c>
      <c r="J53" s="200"/>
      <c r="K53" s="172"/>
    </row>
    <row r="54" spans="2:11">
      <c r="B54" s="172"/>
      <c r="C54" s="199" t="s">
        <v>518</v>
      </c>
      <c r="F54" s="172"/>
      <c r="I54" s="200">
        <v>2</v>
      </c>
      <c r="J54" s="200"/>
      <c r="K54" s="172"/>
    </row>
    <row r="55" spans="2:11">
      <c r="B55" s="172"/>
      <c r="C55" s="199" t="s">
        <v>519</v>
      </c>
      <c r="F55" s="172"/>
      <c r="I55" s="200">
        <v>2</v>
      </c>
      <c r="J55" s="200"/>
      <c r="K55" s="172"/>
    </row>
    <row r="56" spans="2:11">
      <c r="B56" s="172"/>
      <c r="C56" s="199" t="s">
        <v>520</v>
      </c>
      <c r="F56" s="172"/>
      <c r="I56" s="200">
        <v>2</v>
      </c>
      <c r="J56" s="200"/>
      <c r="K56" s="172"/>
    </row>
    <row r="57" spans="2:11">
      <c r="B57" s="172"/>
      <c r="C57" s="199" t="s">
        <v>521</v>
      </c>
      <c r="F57" s="172"/>
      <c r="I57" s="200">
        <v>2</v>
      </c>
      <c r="J57" s="200"/>
      <c r="K57" s="172"/>
    </row>
    <row r="58" spans="2:11">
      <c r="B58" s="172"/>
      <c r="C58" s="199" t="s">
        <v>522</v>
      </c>
      <c r="F58" s="172"/>
      <c r="I58" s="200">
        <v>2</v>
      </c>
      <c r="J58" s="200"/>
      <c r="K58" s="172"/>
    </row>
    <row r="59" spans="2:11">
      <c r="B59" s="172"/>
      <c r="C59" s="199" t="s">
        <v>523</v>
      </c>
      <c r="F59" s="172"/>
      <c r="I59" s="200">
        <v>2</v>
      </c>
      <c r="J59" s="200"/>
      <c r="K59" s="172"/>
    </row>
    <row r="60" spans="2:11">
      <c r="B60" s="172"/>
      <c r="C60" s="199" t="s">
        <v>524</v>
      </c>
      <c r="F60" s="172"/>
      <c r="I60" s="200">
        <v>2</v>
      </c>
      <c r="J60" s="200"/>
      <c r="K60" s="172"/>
    </row>
    <row r="61" spans="2:11">
      <c r="B61" s="172"/>
      <c r="C61" s="199" t="s">
        <v>525</v>
      </c>
      <c r="F61" s="172"/>
      <c r="I61" s="200">
        <v>2</v>
      </c>
      <c r="J61" s="200"/>
      <c r="K61" s="172"/>
    </row>
    <row r="62" spans="2:11">
      <c r="B62" s="172"/>
      <c r="C62" s="199" t="s">
        <v>526</v>
      </c>
      <c r="F62" s="172"/>
      <c r="I62" s="200">
        <v>2</v>
      </c>
      <c r="J62" s="200"/>
      <c r="K62" s="172"/>
    </row>
    <row r="63" spans="2:11">
      <c r="B63" s="172"/>
      <c r="C63" s="199" t="s">
        <v>527</v>
      </c>
      <c r="F63" s="172"/>
      <c r="I63" s="200">
        <v>2</v>
      </c>
      <c r="J63" s="200"/>
      <c r="K63" s="172"/>
    </row>
    <row r="64" spans="2:11">
      <c r="B64" s="172"/>
      <c r="C64" s="199" t="s">
        <v>528</v>
      </c>
      <c r="F64" s="172"/>
      <c r="I64" s="200">
        <v>2</v>
      </c>
      <c r="J64" s="200"/>
      <c r="K64" s="172"/>
    </row>
    <row r="65" spans="1:11">
      <c r="B65" s="172"/>
      <c r="C65" s="199" t="s">
        <v>529</v>
      </c>
      <c r="F65" s="172"/>
      <c r="I65" s="200">
        <v>2</v>
      </c>
      <c r="J65" s="200"/>
      <c r="K65" s="172"/>
    </row>
    <row r="66" spans="1:11">
      <c r="B66" s="172"/>
      <c r="C66" s="199" t="s">
        <v>530</v>
      </c>
      <c r="F66" s="172"/>
      <c r="I66" s="200">
        <v>2</v>
      </c>
      <c r="J66" s="200"/>
      <c r="K66" s="200">
        <v>40</v>
      </c>
    </row>
    <row r="67" spans="1:11" s="172" customFormat="1">
      <c r="A67" s="172">
        <f>COUNTA(C47:C66)</f>
        <v>20</v>
      </c>
      <c r="C67" s="199"/>
      <c r="D67" s="165"/>
      <c r="E67" s="165">
        <f>COUNTIF(E47:E66,"Y")</f>
        <v>0</v>
      </c>
      <c r="G67" s="165"/>
      <c r="H67" s="165"/>
      <c r="I67" s="200"/>
      <c r="J67" s="200"/>
      <c r="K67" s="200"/>
    </row>
    <row r="68" spans="1:11">
      <c r="A68" s="172" t="s">
        <v>31</v>
      </c>
      <c r="B68" s="198" t="s">
        <v>531</v>
      </c>
      <c r="C68" s="172"/>
      <c r="F68" s="172"/>
      <c r="G68" s="201"/>
      <c r="I68" s="200"/>
      <c r="J68" s="200"/>
      <c r="K68" s="172"/>
    </row>
    <row r="69" spans="1:11">
      <c r="B69" s="172"/>
      <c r="C69" s="199" t="s">
        <v>532</v>
      </c>
      <c r="F69" s="172"/>
      <c r="I69" s="200">
        <v>2</v>
      </c>
      <c r="J69" s="200"/>
      <c r="K69" s="172"/>
    </row>
    <row r="70" spans="1:11">
      <c r="B70" s="172"/>
      <c r="C70" s="199" t="s">
        <v>533</v>
      </c>
      <c r="F70" s="172"/>
      <c r="I70" s="200">
        <v>2</v>
      </c>
      <c r="J70" s="200"/>
      <c r="K70" s="172"/>
    </row>
    <row r="71" spans="1:11">
      <c r="B71" s="172"/>
      <c r="C71" s="199" t="s">
        <v>534</v>
      </c>
      <c r="F71" s="172"/>
      <c r="I71" s="200">
        <v>2</v>
      </c>
      <c r="J71" s="200"/>
      <c r="K71" s="172"/>
    </row>
    <row r="72" spans="1:11">
      <c r="B72" s="172"/>
      <c r="C72" s="199" t="s">
        <v>535</v>
      </c>
      <c r="F72" s="172"/>
      <c r="I72" s="200">
        <v>2</v>
      </c>
      <c r="J72" s="200"/>
      <c r="K72" s="172"/>
    </row>
    <row r="73" spans="1:11">
      <c r="B73" s="172"/>
      <c r="C73" s="199" t="s">
        <v>536</v>
      </c>
      <c r="F73" s="172"/>
      <c r="I73" s="200">
        <v>2</v>
      </c>
      <c r="J73" s="200"/>
      <c r="K73" s="172"/>
    </row>
    <row r="74" spans="1:11">
      <c r="B74" s="172"/>
      <c r="C74" s="199" t="s">
        <v>537</v>
      </c>
      <c r="F74" s="172"/>
      <c r="H74" s="216"/>
      <c r="I74" s="200">
        <v>2</v>
      </c>
      <c r="J74" s="200"/>
      <c r="K74" s="172"/>
    </row>
    <row r="75" spans="1:11">
      <c r="B75" s="172"/>
      <c r="C75" s="199" t="s">
        <v>538</v>
      </c>
      <c r="F75" s="172"/>
      <c r="I75" s="200">
        <v>2</v>
      </c>
      <c r="J75" s="200"/>
      <c r="K75" s="172"/>
    </row>
    <row r="76" spans="1:11">
      <c r="B76" s="172"/>
      <c r="C76" s="199" t="s">
        <v>539</v>
      </c>
      <c r="F76" s="172"/>
      <c r="I76" s="200">
        <v>2</v>
      </c>
      <c r="J76" s="200"/>
      <c r="K76" s="172"/>
    </row>
    <row r="77" spans="1:11">
      <c r="B77" s="172"/>
      <c r="C77" s="199" t="s">
        <v>540</v>
      </c>
      <c r="F77" s="172"/>
      <c r="I77" s="200">
        <v>2</v>
      </c>
      <c r="J77" s="200"/>
      <c r="K77" s="172"/>
    </row>
    <row r="78" spans="1:11">
      <c r="B78" s="172"/>
      <c r="C78" s="199" t="s">
        <v>541</v>
      </c>
      <c r="F78" s="172"/>
      <c r="I78" s="200">
        <v>2</v>
      </c>
      <c r="J78" s="200"/>
      <c r="K78" s="172"/>
    </row>
    <row r="79" spans="1:11">
      <c r="B79" s="172"/>
      <c r="C79" s="199" t="s">
        <v>542</v>
      </c>
      <c r="F79" s="172"/>
      <c r="I79" s="200">
        <v>2</v>
      </c>
      <c r="J79" s="200"/>
      <c r="K79" s="172"/>
    </row>
    <row r="80" spans="1:11">
      <c r="B80" s="172"/>
      <c r="C80" s="199" t="s">
        <v>543</v>
      </c>
      <c r="F80" s="172"/>
      <c r="I80" s="200">
        <v>2</v>
      </c>
      <c r="J80" s="200"/>
      <c r="K80" s="200">
        <v>24</v>
      </c>
    </row>
    <row r="81" spans="1:11" s="172" customFormat="1">
      <c r="A81" s="172">
        <f>COUNTA(C69:C80)</f>
        <v>12</v>
      </c>
      <c r="C81" s="199"/>
      <c r="D81" s="165"/>
      <c r="E81" s="165">
        <f>COUNTIF(E69:E80,"Y")</f>
        <v>0</v>
      </c>
      <c r="G81" s="165"/>
      <c r="H81" s="165"/>
      <c r="I81" s="200"/>
      <c r="J81" s="200"/>
      <c r="K81" s="200"/>
    </row>
    <row r="82" spans="1:11">
      <c r="A82" s="172" t="s">
        <v>31</v>
      </c>
      <c r="B82" s="198" t="s">
        <v>544</v>
      </c>
      <c r="C82" s="172"/>
      <c r="F82" s="172"/>
      <c r="G82" s="201"/>
      <c r="I82" s="200"/>
      <c r="J82" s="200"/>
      <c r="K82" s="172"/>
    </row>
    <row r="83" spans="1:11">
      <c r="B83" s="172"/>
      <c r="C83" s="199" t="s">
        <v>545</v>
      </c>
      <c r="F83" s="172"/>
      <c r="I83" s="200">
        <v>2</v>
      </c>
      <c r="J83" s="200"/>
      <c r="K83" s="172"/>
    </row>
    <row r="84" spans="1:11">
      <c r="B84" s="172"/>
      <c r="C84" s="199" t="s">
        <v>546</v>
      </c>
      <c r="F84" s="172"/>
      <c r="I84" s="200">
        <v>2</v>
      </c>
      <c r="J84" s="200"/>
      <c r="K84" s="200">
        <v>4</v>
      </c>
    </row>
    <row r="85" spans="1:11" s="172" customFormat="1">
      <c r="A85" s="172">
        <f>COUNTA(C83:C84)</f>
        <v>2</v>
      </c>
      <c r="C85" s="199"/>
      <c r="D85" s="165"/>
      <c r="E85" s="165">
        <f>COUNTIF(E83:E84,"Y")</f>
        <v>0</v>
      </c>
      <c r="G85" s="165"/>
      <c r="H85" s="165"/>
      <c r="I85" s="200"/>
      <c r="J85" s="200"/>
      <c r="K85" s="200"/>
    </row>
    <row r="86" spans="1:11">
      <c r="A86" s="172" t="s">
        <v>31</v>
      </c>
      <c r="B86" s="198" t="s">
        <v>547</v>
      </c>
      <c r="C86" s="172"/>
      <c r="F86" s="172"/>
      <c r="I86" s="200"/>
      <c r="J86" s="200"/>
      <c r="K86" s="172"/>
    </row>
    <row r="87" spans="1:11">
      <c r="B87" s="172"/>
      <c r="C87" s="199" t="s">
        <v>548</v>
      </c>
      <c r="F87" s="172"/>
      <c r="I87" s="200">
        <v>2</v>
      </c>
      <c r="J87" s="200"/>
      <c r="K87" s="172"/>
    </row>
    <row r="88" spans="1:11">
      <c r="B88" s="172"/>
      <c r="C88" s="199" t="s">
        <v>549</v>
      </c>
      <c r="F88" s="172"/>
      <c r="I88" s="200">
        <v>2</v>
      </c>
      <c r="J88" s="200"/>
      <c r="K88" s="172"/>
    </row>
    <row r="89" spans="1:11">
      <c r="B89" s="172"/>
      <c r="C89" s="199" t="s">
        <v>550</v>
      </c>
      <c r="F89" s="172"/>
      <c r="I89" s="200">
        <v>2</v>
      </c>
      <c r="J89" s="200"/>
      <c r="K89" s="172"/>
    </row>
    <row r="90" spans="1:11">
      <c r="B90" s="172"/>
      <c r="C90" s="199" t="s">
        <v>551</v>
      </c>
      <c r="F90" s="172"/>
      <c r="I90" s="200">
        <v>2</v>
      </c>
      <c r="J90" s="200"/>
      <c r="K90" s="200">
        <v>8</v>
      </c>
    </row>
    <row r="91" spans="1:11" s="172" customFormat="1">
      <c r="A91" s="172">
        <f>COUNTA(C87:C90)</f>
        <v>4</v>
      </c>
      <c r="C91" s="199"/>
      <c r="D91" s="165"/>
      <c r="E91" s="165">
        <f>COUNTIF(E87:E90,"Y")</f>
        <v>0</v>
      </c>
      <c r="G91" s="165"/>
      <c r="H91" s="165"/>
      <c r="I91" s="200"/>
      <c r="J91" s="200"/>
      <c r="K91" s="200"/>
    </row>
    <row r="92" spans="1:11">
      <c r="A92" s="172" t="s">
        <v>31</v>
      </c>
      <c r="B92" s="198" t="s">
        <v>552</v>
      </c>
      <c r="C92" s="172"/>
      <c r="F92" s="172"/>
      <c r="G92" s="201"/>
      <c r="I92" s="200"/>
      <c r="J92" s="200"/>
      <c r="K92" s="172"/>
    </row>
    <row r="93" spans="1:11">
      <c r="B93" s="172"/>
      <c r="C93" s="199" t="s">
        <v>553</v>
      </c>
      <c r="D93" s="165" t="s">
        <v>469</v>
      </c>
      <c r="F93" s="172"/>
      <c r="G93" s="216" t="s">
        <v>705</v>
      </c>
      <c r="H93" s="165" t="s">
        <v>16</v>
      </c>
      <c r="I93" s="200">
        <v>2</v>
      </c>
      <c r="J93" s="200"/>
      <c r="K93" s="172"/>
    </row>
    <row r="94" spans="1:11">
      <c r="B94" s="172"/>
      <c r="C94" s="199" t="s">
        <v>554</v>
      </c>
      <c r="D94" s="165" t="s">
        <v>469</v>
      </c>
      <c r="F94" s="172"/>
      <c r="G94" s="216" t="s">
        <v>705</v>
      </c>
      <c r="H94" s="165" t="s">
        <v>16</v>
      </c>
      <c r="I94" s="200">
        <v>2</v>
      </c>
      <c r="J94" s="200"/>
      <c r="K94" s="200">
        <v>4</v>
      </c>
    </row>
    <row r="95" spans="1:11" s="172" customFormat="1">
      <c r="C95" s="199" t="s">
        <v>700</v>
      </c>
      <c r="D95" s="165" t="s">
        <v>469</v>
      </c>
      <c r="E95" s="165" t="s">
        <v>469</v>
      </c>
      <c r="G95" s="216" t="s">
        <v>705</v>
      </c>
      <c r="H95" s="165" t="s">
        <v>16</v>
      </c>
      <c r="I95" s="200">
        <v>2</v>
      </c>
      <c r="J95" s="200"/>
      <c r="K95" s="200">
        <v>4</v>
      </c>
    </row>
    <row r="96" spans="1:11" s="172" customFormat="1">
      <c r="A96" s="172">
        <f>COUNTA(C93:C94)</f>
        <v>2</v>
      </c>
      <c r="C96" s="199"/>
      <c r="D96" s="165"/>
      <c r="E96" s="165">
        <f>COUNTIF(E93:E95,"Y")</f>
        <v>1</v>
      </c>
      <c r="G96" s="216" t="s">
        <v>705</v>
      </c>
      <c r="H96" s="165"/>
      <c r="I96" s="200"/>
      <c r="J96" s="200"/>
      <c r="K96" s="200"/>
    </row>
    <row r="97" spans="1:11">
      <c r="A97" s="172" t="s">
        <v>31</v>
      </c>
      <c r="B97" s="198" t="s">
        <v>555</v>
      </c>
      <c r="C97" s="172"/>
      <c r="F97" s="172"/>
      <c r="G97" s="201"/>
      <c r="I97" s="200"/>
      <c r="J97" s="200"/>
      <c r="K97" s="172"/>
    </row>
    <row r="98" spans="1:11">
      <c r="B98" s="172"/>
      <c r="C98" s="199" t="s">
        <v>556</v>
      </c>
      <c r="D98" s="165" t="s">
        <v>469</v>
      </c>
      <c r="F98" s="172"/>
      <c r="G98" s="216" t="s">
        <v>705</v>
      </c>
      <c r="H98" s="165" t="s">
        <v>16</v>
      </c>
      <c r="I98" s="200">
        <v>2</v>
      </c>
      <c r="J98" s="200"/>
      <c r="K98" s="172"/>
    </row>
    <row r="99" spans="1:11">
      <c r="B99" s="172"/>
      <c r="C99" s="199" t="s">
        <v>557</v>
      </c>
      <c r="D99" s="165" t="s">
        <v>469</v>
      </c>
      <c r="F99" s="172"/>
      <c r="G99" s="216" t="s">
        <v>705</v>
      </c>
      <c r="H99" s="165" t="s">
        <v>16</v>
      </c>
      <c r="I99" s="200">
        <v>2</v>
      </c>
      <c r="J99" s="200"/>
      <c r="K99" s="172"/>
    </row>
    <row r="100" spans="1:11">
      <c r="B100" s="172"/>
      <c r="C100" s="199" t="s">
        <v>558</v>
      </c>
      <c r="F100" s="172"/>
      <c r="I100" s="200">
        <v>2</v>
      </c>
      <c r="J100" s="200"/>
      <c r="K100" s="200">
        <v>6</v>
      </c>
    </row>
    <row r="101" spans="1:11" s="172" customFormat="1">
      <c r="A101" s="172">
        <f>COUNTA(C98:C100)</f>
        <v>3</v>
      </c>
      <c r="C101" s="199"/>
      <c r="D101" s="165"/>
      <c r="E101" s="165">
        <f>COUNTIF(E98:E100,"Y")</f>
        <v>0</v>
      </c>
      <c r="G101" s="165"/>
      <c r="H101" s="165"/>
      <c r="I101" s="200"/>
      <c r="J101" s="200"/>
      <c r="K101" s="200"/>
    </row>
    <row r="102" spans="1:11">
      <c r="A102" s="172" t="s">
        <v>31</v>
      </c>
      <c r="B102" s="198" t="s">
        <v>559</v>
      </c>
      <c r="C102" s="172"/>
      <c r="F102" s="172"/>
      <c r="G102" s="201"/>
      <c r="I102" s="200"/>
      <c r="J102" s="200"/>
      <c r="K102" s="172"/>
    </row>
    <row r="103" spans="1:11">
      <c r="B103" s="172"/>
      <c r="C103" s="199" t="s">
        <v>560</v>
      </c>
      <c r="D103" s="165" t="s">
        <v>469</v>
      </c>
      <c r="F103" s="172"/>
      <c r="G103" s="216" t="s">
        <v>705</v>
      </c>
      <c r="H103" s="165" t="s">
        <v>16</v>
      </c>
      <c r="I103" s="200">
        <v>2</v>
      </c>
      <c r="J103" s="200"/>
      <c r="K103" s="172"/>
    </row>
    <row r="104" spans="1:11">
      <c r="B104" s="172"/>
      <c r="C104" s="199" t="s">
        <v>561</v>
      </c>
      <c r="F104" s="172"/>
      <c r="I104" s="200">
        <v>2</v>
      </c>
      <c r="J104" s="200"/>
      <c r="K104" s="200">
        <v>4</v>
      </c>
    </row>
    <row r="105" spans="1:11" s="172" customFormat="1">
      <c r="A105" s="172">
        <f>COUNTA(C103:C104)</f>
        <v>2</v>
      </c>
      <c r="C105" s="199"/>
      <c r="D105" s="165"/>
      <c r="E105" s="165">
        <f>COUNTIF(E103:E104,"Y")</f>
        <v>0</v>
      </c>
      <c r="G105" s="165"/>
      <c r="H105" s="165"/>
      <c r="I105" s="200"/>
      <c r="J105" s="200"/>
      <c r="K105" s="200"/>
    </row>
    <row r="106" spans="1:11">
      <c r="A106" s="172" t="s">
        <v>31</v>
      </c>
      <c r="B106" s="198" t="s">
        <v>562</v>
      </c>
      <c r="C106" s="172"/>
      <c r="F106" s="172"/>
      <c r="G106" s="201"/>
      <c r="I106" s="200"/>
      <c r="J106" s="200"/>
      <c r="K106" s="172"/>
    </row>
    <row r="107" spans="1:11">
      <c r="B107" s="172"/>
      <c r="C107" s="199" t="s">
        <v>563</v>
      </c>
      <c r="D107" s="165" t="s">
        <v>469</v>
      </c>
      <c r="F107" s="172"/>
      <c r="G107" s="216" t="s">
        <v>705</v>
      </c>
      <c r="H107" s="165" t="s">
        <v>16</v>
      </c>
      <c r="I107" s="200">
        <v>2</v>
      </c>
      <c r="J107" s="200"/>
      <c r="K107" s="172"/>
    </row>
    <row r="108" spans="1:11">
      <c r="B108" s="172"/>
      <c r="C108" s="199" t="s">
        <v>564</v>
      </c>
      <c r="D108" s="165" t="s">
        <v>469</v>
      </c>
      <c r="F108" s="172"/>
      <c r="G108" s="216" t="s">
        <v>705</v>
      </c>
      <c r="H108" s="165" t="s">
        <v>16</v>
      </c>
      <c r="I108" s="200">
        <v>2</v>
      </c>
      <c r="J108" s="200"/>
      <c r="K108" s="172"/>
    </row>
    <row r="109" spans="1:11">
      <c r="B109" s="172"/>
      <c r="C109" s="199" t="s">
        <v>565</v>
      </c>
      <c r="F109" s="172"/>
      <c r="I109" s="200">
        <v>2</v>
      </c>
      <c r="J109" s="200"/>
      <c r="K109" s="200">
        <v>6</v>
      </c>
    </row>
    <row r="110" spans="1:11" s="172" customFormat="1">
      <c r="A110" s="172">
        <f>COUNTA(C107:C109)</f>
        <v>3</v>
      </c>
      <c r="C110" s="199"/>
      <c r="D110" s="165"/>
      <c r="E110" s="165">
        <f>COUNTIF(E107:E109,"Y")</f>
        <v>0</v>
      </c>
      <c r="G110" s="165"/>
      <c r="H110" s="165"/>
      <c r="I110" s="200"/>
      <c r="J110" s="200"/>
      <c r="K110" s="200"/>
    </row>
    <row r="111" spans="1:11">
      <c r="A111" s="172" t="s">
        <v>31</v>
      </c>
      <c r="B111" s="198" t="s">
        <v>566</v>
      </c>
      <c r="C111" s="172"/>
      <c r="F111" s="172"/>
      <c r="G111" s="201"/>
      <c r="I111" s="200"/>
      <c r="J111" s="200"/>
      <c r="K111" s="172"/>
    </row>
    <row r="112" spans="1:11">
      <c r="B112" s="172"/>
      <c r="C112" s="199" t="s">
        <v>567</v>
      </c>
      <c r="D112" s="165" t="s">
        <v>469</v>
      </c>
      <c r="F112" s="172"/>
      <c r="G112" s="216" t="s">
        <v>705</v>
      </c>
      <c r="H112" s="165" t="s">
        <v>16</v>
      </c>
      <c r="I112" s="200">
        <v>2</v>
      </c>
      <c r="J112" s="200"/>
      <c r="K112" s="172"/>
    </row>
    <row r="113" spans="1:14" ht="25.5">
      <c r="B113" s="172"/>
      <c r="C113" s="199" t="s">
        <v>568</v>
      </c>
      <c r="D113" s="165" t="s">
        <v>75</v>
      </c>
      <c r="F113" s="172"/>
      <c r="I113" s="200">
        <v>2</v>
      </c>
      <c r="J113" s="200"/>
      <c r="K113" s="172"/>
      <c r="N113" s="264" t="s">
        <v>701</v>
      </c>
    </row>
    <row r="114" spans="1:14" s="172" customFormat="1">
      <c r="C114" s="199"/>
      <c r="D114" s="165"/>
      <c r="E114" s="165"/>
      <c r="G114" s="165"/>
      <c r="H114" s="165"/>
      <c r="I114" s="200"/>
      <c r="J114" s="200"/>
    </row>
    <row r="115" spans="1:14">
      <c r="B115" s="172"/>
      <c r="C115" s="199" t="s">
        <v>569</v>
      </c>
      <c r="F115" s="172"/>
      <c r="I115" s="200">
        <v>2</v>
      </c>
      <c r="J115" s="200"/>
      <c r="K115" s="172"/>
    </row>
    <row r="116" spans="1:14">
      <c r="B116" s="172"/>
      <c r="C116" s="199" t="s">
        <v>570</v>
      </c>
      <c r="F116" s="172"/>
      <c r="I116" s="200">
        <v>2</v>
      </c>
      <c r="J116" s="200"/>
      <c r="K116" s="200">
        <v>8</v>
      </c>
    </row>
    <row r="117" spans="1:14" s="172" customFormat="1">
      <c r="A117" s="172">
        <f>COUNTA(C112:C116)</f>
        <v>4</v>
      </c>
      <c r="C117" s="199"/>
      <c r="D117" s="165"/>
      <c r="E117" s="165">
        <f>COUNTIF(E112:E116,"Y")</f>
        <v>0</v>
      </c>
      <c r="G117" s="165"/>
      <c r="H117" s="165"/>
      <c r="I117" s="200"/>
      <c r="J117" s="200"/>
      <c r="K117" s="200"/>
    </row>
    <row r="118" spans="1:14">
      <c r="A118" s="159" t="s">
        <v>33</v>
      </c>
      <c r="B118" s="198" t="s">
        <v>571</v>
      </c>
      <c r="C118" s="172"/>
      <c r="F118" s="172"/>
      <c r="G118" s="201" t="s">
        <v>32</v>
      </c>
      <c r="I118" s="200"/>
      <c r="J118" s="200"/>
      <c r="K118" s="172"/>
    </row>
    <row r="119" spans="1:14">
      <c r="B119" s="198" t="s">
        <v>32</v>
      </c>
      <c r="C119" s="199" t="s">
        <v>572</v>
      </c>
      <c r="F119" s="172"/>
      <c r="I119" s="200">
        <v>4</v>
      </c>
      <c r="J119" s="200"/>
      <c r="K119" s="172"/>
    </row>
    <row r="120" spans="1:14">
      <c r="B120" s="172"/>
      <c r="C120" s="199" t="s">
        <v>573</v>
      </c>
      <c r="D120" s="201" t="s">
        <v>469</v>
      </c>
      <c r="F120" s="201"/>
      <c r="G120" s="216" t="s">
        <v>706</v>
      </c>
      <c r="H120" s="201" t="s">
        <v>16</v>
      </c>
      <c r="I120" s="200">
        <v>4</v>
      </c>
      <c r="J120" s="200"/>
      <c r="K120" s="172"/>
    </row>
    <row r="121" spans="1:14">
      <c r="B121" s="172"/>
      <c r="C121" s="199" t="s">
        <v>574</v>
      </c>
      <c r="D121" s="201" t="s">
        <v>469</v>
      </c>
      <c r="F121" s="201"/>
      <c r="G121" s="216" t="s">
        <v>707</v>
      </c>
      <c r="H121" s="201" t="s">
        <v>15</v>
      </c>
      <c r="I121" s="200">
        <v>4</v>
      </c>
      <c r="J121" s="200"/>
      <c r="K121" s="172"/>
    </row>
    <row r="122" spans="1:14">
      <c r="B122" s="172"/>
      <c r="C122" s="199" t="s">
        <v>575</v>
      </c>
      <c r="D122" s="201" t="s">
        <v>469</v>
      </c>
      <c r="F122" s="201"/>
      <c r="G122" s="216" t="s">
        <v>706</v>
      </c>
      <c r="H122" s="201" t="s">
        <v>16</v>
      </c>
      <c r="I122" s="200">
        <v>4</v>
      </c>
      <c r="J122" s="200"/>
      <c r="K122" s="172"/>
    </row>
    <row r="123" spans="1:14">
      <c r="B123" s="172"/>
      <c r="C123" s="199" t="s">
        <v>576</v>
      </c>
      <c r="D123" s="201" t="s">
        <v>469</v>
      </c>
      <c r="F123" s="201"/>
      <c r="G123" s="216" t="s">
        <v>707</v>
      </c>
      <c r="H123" s="201" t="s">
        <v>15</v>
      </c>
      <c r="I123" s="200">
        <v>4</v>
      </c>
      <c r="J123" s="200"/>
      <c r="K123" s="172"/>
    </row>
    <row r="124" spans="1:14">
      <c r="B124" s="172"/>
      <c r="C124" s="199" t="s">
        <v>577</v>
      </c>
      <c r="D124" s="201" t="s">
        <v>469</v>
      </c>
      <c r="F124" s="201"/>
      <c r="G124" s="216" t="s">
        <v>707</v>
      </c>
      <c r="H124" s="201" t="s">
        <v>15</v>
      </c>
      <c r="I124" s="200">
        <v>4</v>
      </c>
      <c r="J124" s="200"/>
      <c r="K124" s="172"/>
    </row>
    <row r="125" spans="1:14">
      <c r="B125" s="172"/>
      <c r="C125" s="199" t="s">
        <v>578</v>
      </c>
      <c r="D125" s="201"/>
      <c r="F125" s="201"/>
      <c r="H125" s="201"/>
      <c r="I125" s="200">
        <v>4</v>
      </c>
      <c r="J125" s="200"/>
      <c r="K125" s="172"/>
      <c r="N125" s="201" t="s">
        <v>579</v>
      </c>
    </row>
    <row r="126" spans="1:14">
      <c r="B126" s="172"/>
      <c r="C126" s="199" t="s">
        <v>580</v>
      </c>
      <c r="D126" s="201" t="s">
        <v>469</v>
      </c>
      <c r="F126" s="201"/>
      <c r="G126" s="216" t="s">
        <v>706</v>
      </c>
      <c r="H126" s="201" t="s">
        <v>16</v>
      </c>
      <c r="I126" s="200">
        <v>4</v>
      </c>
      <c r="J126" s="200"/>
      <c r="K126" s="172"/>
      <c r="N126" s="172" t="s">
        <v>32</v>
      </c>
    </row>
    <row r="127" spans="1:14">
      <c r="B127" s="172"/>
      <c r="C127" s="199" t="s">
        <v>581</v>
      </c>
      <c r="D127" s="201" t="s">
        <v>469</v>
      </c>
      <c r="F127" s="201"/>
      <c r="G127" s="216" t="s">
        <v>706</v>
      </c>
      <c r="H127" s="201" t="s">
        <v>16</v>
      </c>
      <c r="I127" s="200">
        <v>4</v>
      </c>
      <c r="J127" s="202"/>
      <c r="K127" s="172"/>
      <c r="L127" s="172"/>
    </row>
    <row r="128" spans="1:14">
      <c r="B128" s="172"/>
      <c r="C128" s="199" t="s">
        <v>582</v>
      </c>
      <c r="D128" s="201" t="s">
        <v>469</v>
      </c>
      <c r="F128" s="201"/>
      <c r="G128" s="216" t="s">
        <v>706</v>
      </c>
      <c r="H128" s="201" t="s">
        <v>16</v>
      </c>
      <c r="I128" s="200">
        <v>4</v>
      </c>
      <c r="J128" s="200"/>
      <c r="K128" s="172"/>
      <c r="L128" s="172"/>
    </row>
    <row r="129" spans="1:14">
      <c r="B129" s="172"/>
      <c r="C129" s="199" t="s">
        <v>583</v>
      </c>
      <c r="D129" s="201" t="s">
        <v>469</v>
      </c>
      <c r="F129" s="201"/>
      <c r="G129" s="216" t="s">
        <v>706</v>
      </c>
      <c r="H129" s="201" t="s">
        <v>16</v>
      </c>
      <c r="I129" s="200">
        <v>4</v>
      </c>
      <c r="J129" s="200"/>
      <c r="K129" s="172"/>
      <c r="L129" s="172"/>
    </row>
    <row r="130" spans="1:14">
      <c r="B130" s="172"/>
      <c r="C130" s="199" t="s">
        <v>584</v>
      </c>
      <c r="D130" s="201" t="s">
        <v>469</v>
      </c>
      <c r="F130" s="201"/>
      <c r="G130" s="216" t="s">
        <v>706</v>
      </c>
      <c r="H130" s="201" t="s">
        <v>16</v>
      </c>
      <c r="I130" s="200">
        <v>4</v>
      </c>
      <c r="J130" s="200"/>
      <c r="K130" s="172"/>
      <c r="L130" s="200">
        <v>48</v>
      </c>
    </row>
    <row r="131" spans="1:14" s="172" customFormat="1">
      <c r="A131" s="172">
        <f>COUNTA(C119:C130)</f>
        <v>12</v>
      </c>
      <c r="C131" s="199"/>
      <c r="D131" s="201"/>
      <c r="E131" s="165">
        <f>COUNTIF(E119:E130,"Y")</f>
        <v>0</v>
      </c>
      <c r="F131" s="201"/>
      <c r="G131" s="165"/>
      <c r="H131" s="201"/>
      <c r="I131" s="200"/>
      <c r="J131" s="200"/>
      <c r="L131" s="200"/>
    </row>
    <row r="132" spans="1:14">
      <c r="A132" s="159" t="s">
        <v>33</v>
      </c>
      <c r="B132" s="198" t="s">
        <v>585</v>
      </c>
      <c r="C132" s="172"/>
      <c r="F132" s="172"/>
      <c r="G132" s="201" t="s">
        <v>32</v>
      </c>
      <c r="I132" s="200"/>
      <c r="J132" s="200"/>
      <c r="K132" s="172"/>
      <c r="L132" s="172"/>
    </row>
    <row r="133" spans="1:14">
      <c r="B133" s="172"/>
      <c r="C133" s="199" t="s">
        <v>586</v>
      </c>
      <c r="D133" s="201" t="s">
        <v>469</v>
      </c>
      <c r="F133" s="201"/>
      <c r="G133" s="216" t="s">
        <v>706</v>
      </c>
      <c r="H133" s="201" t="s">
        <v>16</v>
      </c>
      <c r="I133" s="200">
        <v>2</v>
      </c>
      <c r="J133" s="200"/>
      <c r="K133" s="172"/>
      <c r="L133" s="172"/>
    </row>
    <row r="134" spans="1:14">
      <c r="B134" s="172"/>
      <c r="C134" s="199" t="s">
        <v>587</v>
      </c>
      <c r="D134" s="201" t="s">
        <v>469</v>
      </c>
      <c r="F134" s="201"/>
      <c r="G134" s="216" t="s">
        <v>706</v>
      </c>
      <c r="H134" s="201" t="s">
        <v>16</v>
      </c>
      <c r="I134" s="200">
        <v>2</v>
      </c>
      <c r="J134" s="200"/>
      <c r="K134" s="172"/>
      <c r="L134" s="172"/>
    </row>
    <row r="135" spans="1:14">
      <c r="B135" s="172"/>
      <c r="C135" s="199" t="s">
        <v>588</v>
      </c>
      <c r="D135" s="201" t="s">
        <v>469</v>
      </c>
      <c r="F135" s="201"/>
      <c r="G135" s="216" t="s">
        <v>706</v>
      </c>
      <c r="H135" s="201" t="s">
        <v>16</v>
      </c>
      <c r="I135" s="200">
        <v>2</v>
      </c>
      <c r="J135" s="200"/>
      <c r="K135" s="172"/>
      <c r="L135" s="172"/>
    </row>
    <row r="136" spans="1:14">
      <c r="B136" s="172"/>
      <c r="C136" s="199" t="s">
        <v>589</v>
      </c>
      <c r="F136" s="172"/>
      <c r="I136" s="200">
        <v>2</v>
      </c>
      <c r="J136" s="200"/>
      <c r="K136" s="172"/>
      <c r="L136" s="172"/>
      <c r="N136" s="201" t="s">
        <v>590</v>
      </c>
    </row>
    <row r="137" spans="1:14">
      <c r="B137" s="172"/>
      <c r="C137" s="199" t="s">
        <v>591</v>
      </c>
      <c r="D137" s="201" t="s">
        <v>469</v>
      </c>
      <c r="F137" s="201"/>
      <c r="G137" s="201" t="s">
        <v>706</v>
      </c>
      <c r="H137" s="201" t="s">
        <v>16</v>
      </c>
      <c r="I137" s="200">
        <v>2</v>
      </c>
      <c r="J137" s="200"/>
      <c r="K137" s="172"/>
      <c r="L137" s="172"/>
    </row>
    <row r="138" spans="1:14">
      <c r="B138" s="172"/>
      <c r="C138" s="199" t="s">
        <v>592</v>
      </c>
      <c r="D138" s="201" t="s">
        <v>469</v>
      </c>
      <c r="F138" s="201"/>
      <c r="G138" s="216" t="s">
        <v>706</v>
      </c>
      <c r="H138" s="201" t="s">
        <v>16</v>
      </c>
      <c r="I138" s="200">
        <v>2</v>
      </c>
      <c r="J138" s="200"/>
      <c r="K138" s="172"/>
      <c r="L138" s="172"/>
    </row>
    <row r="139" spans="1:14">
      <c r="B139" s="172"/>
      <c r="C139" s="199" t="s">
        <v>593</v>
      </c>
      <c r="D139" s="201" t="s">
        <v>469</v>
      </c>
      <c r="F139" s="201"/>
      <c r="G139" s="216" t="s">
        <v>706</v>
      </c>
      <c r="H139" s="201" t="s">
        <v>16</v>
      </c>
      <c r="I139" s="200">
        <v>2</v>
      </c>
      <c r="J139" s="200"/>
      <c r="K139" s="172"/>
      <c r="L139" s="172"/>
    </row>
    <row r="140" spans="1:14">
      <c r="B140" s="172"/>
      <c r="C140" s="199" t="s">
        <v>594</v>
      </c>
      <c r="D140" s="201" t="s">
        <v>469</v>
      </c>
      <c r="F140" s="201"/>
      <c r="G140" s="216" t="s">
        <v>706</v>
      </c>
      <c r="H140" s="201" t="s">
        <v>16</v>
      </c>
      <c r="I140" s="200">
        <v>2</v>
      </c>
      <c r="J140" s="200"/>
      <c r="K140" s="172"/>
      <c r="L140" s="172"/>
    </row>
    <row r="141" spans="1:14">
      <c r="B141" s="172"/>
      <c r="C141" s="199" t="s">
        <v>595</v>
      </c>
      <c r="D141" s="201" t="s">
        <v>469</v>
      </c>
      <c r="F141" s="201"/>
      <c r="G141" s="216" t="s">
        <v>706</v>
      </c>
      <c r="H141" s="201" t="s">
        <v>16</v>
      </c>
      <c r="I141" s="200">
        <v>2</v>
      </c>
      <c r="J141" s="200"/>
      <c r="K141" s="172"/>
      <c r="L141" s="172"/>
    </row>
    <row r="142" spans="1:14">
      <c r="B142" s="172"/>
      <c r="C142" s="199" t="s">
        <v>596</v>
      </c>
      <c r="D142" s="201" t="s">
        <v>469</v>
      </c>
      <c r="F142" s="201"/>
      <c r="G142" s="216" t="s">
        <v>706</v>
      </c>
      <c r="H142" s="201" t="s">
        <v>16</v>
      </c>
      <c r="I142" s="200">
        <v>2</v>
      </c>
      <c r="J142" s="200"/>
      <c r="K142" s="172"/>
      <c r="L142" s="200">
        <v>20</v>
      </c>
    </row>
    <row r="143" spans="1:14" s="172" customFormat="1">
      <c r="A143" s="172">
        <f>COUNTA(C133:C142)</f>
        <v>10</v>
      </c>
      <c r="C143" s="199"/>
      <c r="D143" s="201"/>
      <c r="E143" s="165">
        <f>COUNTIF(E133:E142,"Y")</f>
        <v>0</v>
      </c>
      <c r="F143" s="201"/>
      <c r="G143" s="165"/>
      <c r="H143" s="201"/>
      <c r="I143" s="200"/>
      <c r="J143" s="200"/>
      <c r="L143" s="200"/>
    </row>
    <row r="144" spans="1:14">
      <c r="A144" s="159" t="s">
        <v>33</v>
      </c>
      <c r="B144" s="198" t="s">
        <v>597</v>
      </c>
      <c r="C144" s="172"/>
      <c r="F144" s="172"/>
      <c r="G144" s="201" t="s">
        <v>32</v>
      </c>
      <c r="H144" s="201" t="s">
        <v>32</v>
      </c>
      <c r="I144" s="200"/>
      <c r="J144" s="200"/>
      <c r="K144" s="172"/>
      <c r="L144" s="172"/>
    </row>
    <row r="145" spans="1:12">
      <c r="B145" s="172"/>
      <c r="C145" s="199" t="s">
        <v>598</v>
      </c>
      <c r="D145" s="201" t="s">
        <v>469</v>
      </c>
      <c r="F145" s="201"/>
      <c r="G145" s="216" t="s">
        <v>706</v>
      </c>
      <c r="H145" s="201" t="s">
        <v>16</v>
      </c>
      <c r="I145" s="200"/>
      <c r="J145" s="200"/>
      <c r="K145" s="172"/>
      <c r="L145" s="172"/>
    </row>
    <row r="146" spans="1:12">
      <c r="B146" s="203"/>
      <c r="C146" s="204" t="s">
        <v>599</v>
      </c>
      <c r="D146" s="210" t="s">
        <v>469</v>
      </c>
      <c r="F146" s="210"/>
      <c r="G146" s="210" t="s">
        <v>706</v>
      </c>
      <c r="H146" s="210" t="s">
        <v>16</v>
      </c>
      <c r="I146" s="205"/>
      <c r="J146" s="205"/>
      <c r="K146" s="203"/>
      <c r="L146" s="203"/>
    </row>
    <row r="147" spans="1:12" s="172" customFormat="1">
      <c r="A147" s="172">
        <f>COUNTA(C145:C146)</f>
        <v>2</v>
      </c>
      <c r="B147" s="203"/>
      <c r="C147" s="204"/>
      <c r="D147" s="210"/>
      <c r="E147" s="165">
        <f>COUNTIF(E145:E146,"Y")</f>
        <v>0</v>
      </c>
      <c r="F147" s="210"/>
      <c r="G147" s="210"/>
      <c r="H147" s="210"/>
      <c r="I147" s="205"/>
      <c r="J147" s="205"/>
      <c r="K147" s="203"/>
      <c r="L147" s="203"/>
    </row>
    <row r="148" spans="1:12">
      <c r="A148" s="159" t="s">
        <v>33</v>
      </c>
      <c r="B148" s="198" t="s">
        <v>600</v>
      </c>
      <c r="C148" s="172"/>
      <c r="F148" s="172"/>
      <c r="G148" s="201" t="s">
        <v>32</v>
      </c>
      <c r="I148" s="200"/>
      <c r="J148" s="200"/>
      <c r="K148" s="172"/>
      <c r="L148" s="172"/>
    </row>
    <row r="149" spans="1:12">
      <c r="B149" s="172"/>
      <c r="C149" s="199" t="s">
        <v>601</v>
      </c>
      <c r="F149" s="172"/>
      <c r="H149" s="201" t="s">
        <v>32</v>
      </c>
      <c r="I149" s="200">
        <v>2</v>
      </c>
      <c r="J149" s="200"/>
      <c r="K149" s="172"/>
      <c r="L149" s="172"/>
    </row>
    <row r="150" spans="1:12">
      <c r="B150" s="172"/>
      <c r="C150" s="199" t="s">
        <v>602</v>
      </c>
      <c r="D150" s="201" t="s">
        <v>469</v>
      </c>
      <c r="F150" s="201"/>
      <c r="G150" s="216" t="s">
        <v>706</v>
      </c>
      <c r="H150" s="201" t="s">
        <v>16</v>
      </c>
      <c r="I150" s="200">
        <v>2</v>
      </c>
      <c r="J150" s="200"/>
      <c r="K150" s="172"/>
      <c r="L150" s="172"/>
    </row>
    <row r="151" spans="1:12">
      <c r="B151" s="172"/>
      <c r="C151" s="199" t="s">
        <v>603</v>
      </c>
      <c r="D151" s="216" t="s">
        <v>469</v>
      </c>
      <c r="F151" s="172"/>
      <c r="G151" s="216" t="s">
        <v>706</v>
      </c>
      <c r="H151" s="165" t="s">
        <v>16</v>
      </c>
      <c r="I151" s="200">
        <v>2</v>
      </c>
      <c r="J151" s="200"/>
      <c r="K151" s="172"/>
      <c r="L151" s="172"/>
    </row>
    <row r="152" spans="1:12">
      <c r="B152" s="172"/>
      <c r="C152" s="199" t="s">
        <v>604</v>
      </c>
      <c r="D152" s="201" t="s">
        <v>469</v>
      </c>
      <c r="F152" s="201"/>
      <c r="G152" s="216" t="s">
        <v>706</v>
      </c>
      <c r="H152" s="201" t="s">
        <v>16</v>
      </c>
      <c r="I152" s="200">
        <v>2</v>
      </c>
      <c r="J152" s="200"/>
      <c r="K152" s="172"/>
      <c r="L152" s="172"/>
    </row>
    <row r="153" spans="1:12">
      <c r="B153" s="172"/>
      <c r="C153" s="199" t="s">
        <v>605</v>
      </c>
      <c r="F153" s="172"/>
      <c r="I153" s="200">
        <v>2</v>
      </c>
      <c r="J153" s="200"/>
      <c r="K153" s="172"/>
      <c r="L153" s="172"/>
    </row>
    <row r="154" spans="1:12">
      <c r="B154" s="172"/>
      <c r="C154" s="199" t="s">
        <v>606</v>
      </c>
      <c r="D154" s="201" t="s">
        <v>469</v>
      </c>
      <c r="F154" s="201"/>
      <c r="G154" s="216" t="s">
        <v>706</v>
      </c>
      <c r="H154" s="201" t="s">
        <v>16</v>
      </c>
      <c r="I154" s="200">
        <v>2</v>
      </c>
      <c r="J154" s="200"/>
      <c r="K154" s="172"/>
      <c r="L154" s="172"/>
    </row>
    <row r="155" spans="1:12">
      <c r="B155" s="172"/>
      <c r="C155" s="199" t="s">
        <v>607</v>
      </c>
      <c r="F155" s="172"/>
      <c r="I155" s="200">
        <v>2</v>
      </c>
      <c r="J155" s="200"/>
      <c r="K155" s="172"/>
      <c r="L155" s="172"/>
    </row>
    <row r="156" spans="1:12">
      <c r="B156" s="172"/>
      <c r="C156" s="199" t="s">
        <v>608</v>
      </c>
      <c r="D156" s="201" t="s">
        <v>469</v>
      </c>
      <c r="F156" s="201"/>
      <c r="G156" s="216" t="s">
        <v>706</v>
      </c>
      <c r="H156" s="201" t="s">
        <v>16</v>
      </c>
      <c r="I156" s="200">
        <v>2</v>
      </c>
      <c r="J156" s="200"/>
      <c r="K156" s="172"/>
      <c r="L156" s="200">
        <v>16</v>
      </c>
    </row>
    <row r="157" spans="1:12" s="172" customFormat="1">
      <c r="A157" s="172">
        <f>COUNTA(C149:C156)</f>
        <v>8</v>
      </c>
      <c r="C157" s="199"/>
      <c r="D157" s="201"/>
      <c r="E157" s="165">
        <f>COUNTIF(E149:E156,"Y")</f>
        <v>0</v>
      </c>
      <c r="F157" s="201"/>
      <c r="G157" s="165"/>
      <c r="H157" s="201"/>
      <c r="I157" s="200"/>
      <c r="J157" s="200"/>
      <c r="L157" s="200"/>
    </row>
    <row r="158" spans="1:12">
      <c r="A158" s="159" t="s">
        <v>33</v>
      </c>
      <c r="B158" s="198" t="s">
        <v>609</v>
      </c>
      <c r="C158" s="172"/>
      <c r="F158" s="172"/>
      <c r="G158" s="201" t="s">
        <v>32</v>
      </c>
      <c r="I158" s="200"/>
      <c r="J158" s="200"/>
      <c r="K158" s="172"/>
      <c r="L158" s="172"/>
    </row>
    <row r="159" spans="1:12">
      <c r="B159" s="172"/>
      <c r="C159" s="199" t="s">
        <v>610</v>
      </c>
      <c r="D159" s="216" t="s">
        <v>469</v>
      </c>
      <c r="F159" s="172"/>
      <c r="G159" s="216" t="s">
        <v>706</v>
      </c>
      <c r="H159" s="216" t="s">
        <v>16</v>
      </c>
      <c r="I159" s="200">
        <v>2</v>
      </c>
      <c r="J159" s="200"/>
      <c r="K159" s="172"/>
      <c r="L159" s="172"/>
    </row>
    <row r="160" spans="1:12">
      <c r="B160" s="172"/>
      <c r="C160" s="199" t="s">
        <v>611</v>
      </c>
      <c r="D160" s="165" t="s">
        <v>469</v>
      </c>
      <c r="F160" s="172"/>
      <c r="G160" s="216" t="s">
        <v>706</v>
      </c>
      <c r="H160" s="165" t="s">
        <v>16</v>
      </c>
      <c r="I160" s="200">
        <v>2</v>
      </c>
      <c r="J160" s="200"/>
      <c r="K160" s="172"/>
      <c r="L160" s="172"/>
    </row>
    <row r="161" spans="1:14">
      <c r="B161" s="172"/>
      <c r="C161" s="199" t="s">
        <v>612</v>
      </c>
      <c r="D161" s="165" t="s">
        <v>469</v>
      </c>
      <c r="F161" s="172"/>
      <c r="G161" s="216" t="s">
        <v>706</v>
      </c>
      <c r="H161" s="165" t="s">
        <v>16</v>
      </c>
      <c r="I161" s="200">
        <v>2</v>
      </c>
      <c r="J161" s="200"/>
      <c r="K161" s="172"/>
      <c r="L161" s="172"/>
    </row>
    <row r="162" spans="1:14">
      <c r="B162" s="172"/>
      <c r="C162" s="199" t="s">
        <v>613</v>
      </c>
      <c r="D162" s="165" t="s">
        <v>469</v>
      </c>
      <c r="F162" s="172"/>
      <c r="G162" s="216" t="s">
        <v>706</v>
      </c>
      <c r="H162" s="165" t="s">
        <v>16</v>
      </c>
      <c r="I162" s="200">
        <v>2</v>
      </c>
      <c r="J162" s="200"/>
      <c r="K162" s="172"/>
      <c r="L162" s="172"/>
    </row>
    <row r="163" spans="1:14">
      <c r="B163" s="172"/>
      <c r="C163" s="199" t="s">
        <v>614</v>
      </c>
      <c r="D163" s="165" t="s">
        <v>469</v>
      </c>
      <c r="F163" s="172"/>
      <c r="G163" s="216" t="s">
        <v>706</v>
      </c>
      <c r="H163" s="165" t="s">
        <v>16</v>
      </c>
      <c r="I163" s="200">
        <v>2</v>
      </c>
      <c r="J163" s="200"/>
      <c r="K163" s="172"/>
      <c r="L163" s="172"/>
    </row>
    <row r="164" spans="1:14">
      <c r="B164" s="172"/>
      <c r="C164" s="199" t="s">
        <v>615</v>
      </c>
      <c r="D164" s="165" t="s">
        <v>469</v>
      </c>
      <c r="F164" s="172"/>
      <c r="G164" s="216" t="s">
        <v>706</v>
      </c>
      <c r="H164" s="165" t="s">
        <v>16</v>
      </c>
      <c r="I164" s="200">
        <v>2</v>
      </c>
      <c r="J164" s="200"/>
      <c r="K164" s="172"/>
      <c r="L164" s="172"/>
    </row>
    <row r="165" spans="1:14">
      <c r="B165" s="172"/>
      <c r="C165" s="199" t="s">
        <v>616</v>
      </c>
      <c r="D165" s="165" t="s">
        <v>469</v>
      </c>
      <c r="F165" s="172"/>
      <c r="G165" s="216" t="s">
        <v>706</v>
      </c>
      <c r="H165" s="165" t="s">
        <v>16</v>
      </c>
      <c r="I165" s="200">
        <v>2</v>
      </c>
      <c r="J165" s="200"/>
      <c r="K165" s="172"/>
      <c r="L165" s="172"/>
    </row>
    <row r="166" spans="1:14">
      <c r="B166" s="172"/>
      <c r="C166" s="199" t="s">
        <v>617</v>
      </c>
      <c r="F166" s="172"/>
      <c r="I166" s="200">
        <v>2</v>
      </c>
      <c r="J166" s="200"/>
      <c r="K166" s="172"/>
      <c r="L166" s="172"/>
    </row>
    <row r="167" spans="1:14">
      <c r="B167" s="172"/>
      <c r="C167" s="199" t="s">
        <v>618</v>
      </c>
      <c r="D167" s="165" t="s">
        <v>469</v>
      </c>
      <c r="F167" s="172"/>
      <c r="G167" s="216" t="s">
        <v>706</v>
      </c>
      <c r="H167" s="165" t="s">
        <v>16</v>
      </c>
      <c r="I167" s="200">
        <v>2</v>
      </c>
      <c r="J167" s="200"/>
      <c r="K167" s="172"/>
      <c r="L167" s="172"/>
    </row>
    <row r="168" spans="1:14">
      <c r="B168" s="172"/>
      <c r="C168" s="199" t="s">
        <v>619</v>
      </c>
      <c r="D168" s="165" t="s">
        <v>469</v>
      </c>
      <c r="F168" s="172"/>
      <c r="G168" s="216" t="s">
        <v>706</v>
      </c>
      <c r="H168" s="165" t="s">
        <v>16</v>
      </c>
      <c r="I168" s="200">
        <v>2</v>
      </c>
      <c r="J168" s="200"/>
      <c r="K168" s="172"/>
      <c r="L168" s="200">
        <v>20</v>
      </c>
    </row>
    <row r="169" spans="1:14" s="172" customFormat="1">
      <c r="A169" s="172">
        <f>COUNTA(C159:C168)</f>
        <v>10</v>
      </c>
      <c r="C169" s="199"/>
      <c r="D169" s="165"/>
      <c r="E169" s="165">
        <f>COUNTIF(E159:E168,"Y")</f>
        <v>0</v>
      </c>
      <c r="G169" s="165"/>
      <c r="H169" s="165"/>
      <c r="I169" s="200"/>
      <c r="J169" s="200"/>
      <c r="L169" s="200"/>
    </row>
    <row r="170" spans="1:14">
      <c r="A170" s="159" t="s">
        <v>33</v>
      </c>
      <c r="B170" s="198" t="s">
        <v>620</v>
      </c>
      <c r="C170" s="172"/>
      <c r="F170" s="172"/>
      <c r="G170" s="201" t="s">
        <v>32</v>
      </c>
      <c r="I170" s="200"/>
      <c r="J170" s="200"/>
      <c r="K170" s="172"/>
      <c r="L170" s="172"/>
    </row>
    <row r="171" spans="1:14" s="172" customFormat="1" ht="25.5">
      <c r="B171" s="198"/>
      <c r="C171" s="199" t="s">
        <v>702</v>
      </c>
      <c r="D171" s="216" t="s">
        <v>75</v>
      </c>
      <c r="E171" s="165"/>
      <c r="G171" s="201" t="s">
        <v>705</v>
      </c>
      <c r="H171" s="265"/>
      <c r="I171" s="200"/>
      <c r="J171" s="200"/>
      <c r="N171" s="266" t="s">
        <v>703</v>
      </c>
    </row>
    <row r="172" spans="1:14">
      <c r="B172" s="172"/>
      <c r="C172" s="199" t="s">
        <v>621</v>
      </c>
      <c r="F172" s="172"/>
      <c r="I172" s="200">
        <v>2</v>
      </c>
      <c r="J172" s="200"/>
      <c r="K172" s="172"/>
      <c r="L172" s="172"/>
    </row>
    <row r="173" spans="1:14" s="172" customFormat="1">
      <c r="C173" s="199" t="s">
        <v>698</v>
      </c>
      <c r="D173" s="165"/>
      <c r="E173" s="165" t="s">
        <v>469</v>
      </c>
      <c r="G173" s="216" t="s">
        <v>706</v>
      </c>
      <c r="H173" s="165" t="s">
        <v>16</v>
      </c>
      <c r="I173" s="200"/>
      <c r="J173" s="200"/>
    </row>
    <row r="174" spans="1:14" s="172" customFormat="1">
      <c r="A174" s="172">
        <f>COUNTA(C172:C173)</f>
        <v>2</v>
      </c>
      <c r="C174" s="199"/>
      <c r="D174" s="165"/>
      <c r="E174" s="165">
        <f>COUNTIF(E172:E173,"Y")</f>
        <v>1</v>
      </c>
      <c r="G174" s="165"/>
      <c r="H174" s="165"/>
      <c r="I174" s="200"/>
      <c r="J174" s="200"/>
    </row>
    <row r="175" spans="1:14">
      <c r="A175" s="159" t="s">
        <v>33</v>
      </c>
      <c r="B175" s="198" t="s">
        <v>622</v>
      </c>
      <c r="C175" s="172"/>
      <c r="F175" s="172"/>
      <c r="G175" s="201" t="s">
        <v>32</v>
      </c>
      <c r="I175" s="200" t="s">
        <v>32</v>
      </c>
      <c r="J175" s="200"/>
      <c r="K175" s="172"/>
      <c r="L175" s="200">
        <v>2</v>
      </c>
    </row>
    <row r="176" spans="1:14">
      <c r="B176" s="172"/>
      <c r="C176" s="199" t="s">
        <v>623</v>
      </c>
      <c r="D176" s="165" t="s">
        <v>469</v>
      </c>
      <c r="F176" s="172"/>
      <c r="G176" s="216" t="s">
        <v>706</v>
      </c>
      <c r="H176" s="165" t="s">
        <v>16</v>
      </c>
      <c r="I176" s="200">
        <v>2</v>
      </c>
      <c r="J176" s="200"/>
      <c r="K176" s="172"/>
      <c r="L176" s="172"/>
    </row>
    <row r="177" spans="1:14">
      <c r="B177" s="172"/>
      <c r="C177" s="199" t="s">
        <v>624</v>
      </c>
      <c r="D177" s="165" t="s">
        <v>469</v>
      </c>
      <c r="F177" s="172"/>
      <c r="G177" s="216" t="s">
        <v>706</v>
      </c>
      <c r="H177" s="165" t="s">
        <v>16</v>
      </c>
      <c r="I177" s="200">
        <v>2</v>
      </c>
      <c r="J177" s="200"/>
      <c r="K177" s="172"/>
      <c r="L177" s="172"/>
    </row>
    <row r="178" spans="1:14">
      <c r="B178" s="172"/>
      <c r="C178" s="199" t="s">
        <v>625</v>
      </c>
      <c r="D178" s="165" t="s">
        <v>469</v>
      </c>
      <c r="F178" s="172"/>
      <c r="G178" s="216" t="s">
        <v>706</v>
      </c>
      <c r="H178" s="165" t="s">
        <v>16</v>
      </c>
      <c r="I178" s="200">
        <v>2</v>
      </c>
      <c r="J178" s="200"/>
      <c r="K178" s="172"/>
      <c r="L178" s="172"/>
    </row>
    <row r="179" spans="1:14">
      <c r="B179" s="172"/>
      <c r="C179" s="199" t="s">
        <v>626</v>
      </c>
      <c r="D179" s="165" t="s">
        <v>469</v>
      </c>
      <c r="F179" s="172"/>
      <c r="G179" s="216" t="s">
        <v>706</v>
      </c>
      <c r="H179" s="165" t="s">
        <v>16</v>
      </c>
      <c r="I179" s="200">
        <v>2</v>
      </c>
      <c r="J179" s="200"/>
      <c r="K179" s="172"/>
      <c r="L179" s="172"/>
    </row>
    <row r="180" spans="1:14">
      <c r="B180" s="172"/>
      <c r="C180" s="199" t="s">
        <v>627</v>
      </c>
      <c r="D180" s="165" t="s">
        <v>469</v>
      </c>
      <c r="F180" s="172"/>
      <c r="G180" s="216" t="s">
        <v>706</v>
      </c>
      <c r="H180" s="165" t="s">
        <v>16</v>
      </c>
      <c r="I180" s="200">
        <v>2</v>
      </c>
      <c r="J180" s="200"/>
      <c r="K180" s="172"/>
      <c r="L180" s="172"/>
    </row>
    <row r="181" spans="1:14">
      <c r="B181" s="172"/>
      <c r="C181" s="199" t="s">
        <v>628</v>
      </c>
      <c r="D181" s="165" t="s">
        <v>469</v>
      </c>
      <c r="F181" s="172"/>
      <c r="G181" s="216" t="s">
        <v>706</v>
      </c>
      <c r="H181" s="165" t="s">
        <v>16</v>
      </c>
      <c r="I181" s="200">
        <v>2</v>
      </c>
      <c r="J181" s="200"/>
      <c r="K181" s="172"/>
      <c r="L181" s="172"/>
    </row>
    <row r="182" spans="1:14">
      <c r="B182" s="172"/>
      <c r="C182" s="199" t="s">
        <v>629</v>
      </c>
      <c r="D182" s="165" t="s">
        <v>469</v>
      </c>
      <c r="F182" s="172"/>
      <c r="G182" s="216" t="s">
        <v>706</v>
      </c>
      <c r="H182" s="165" t="s">
        <v>16</v>
      </c>
      <c r="I182" s="200">
        <v>2</v>
      </c>
      <c r="J182" s="200"/>
      <c r="K182" s="172"/>
      <c r="L182" s="172"/>
      <c r="N182" s="143" t="s">
        <v>697</v>
      </c>
    </row>
    <row r="183" spans="1:14">
      <c r="B183" s="172"/>
      <c r="C183" s="199" t="s">
        <v>630</v>
      </c>
      <c r="F183" s="172"/>
      <c r="I183" s="200">
        <v>2</v>
      </c>
      <c r="J183" s="200"/>
      <c r="K183" s="172"/>
      <c r="L183" s="172"/>
    </row>
    <row r="184" spans="1:14">
      <c r="B184" s="172"/>
      <c r="C184" s="199" t="s">
        <v>631</v>
      </c>
      <c r="D184" s="165" t="s">
        <v>469</v>
      </c>
      <c r="F184" s="172"/>
      <c r="G184" s="216" t="s">
        <v>706</v>
      </c>
      <c r="H184" s="165" t="s">
        <v>16</v>
      </c>
      <c r="I184" s="200">
        <v>2</v>
      </c>
      <c r="J184" s="200"/>
      <c r="K184" s="172"/>
      <c r="L184" s="172"/>
    </row>
    <row r="185" spans="1:14">
      <c r="B185" s="172"/>
      <c r="C185" s="199" t="s">
        <v>632</v>
      </c>
      <c r="D185" s="165" t="s">
        <v>469</v>
      </c>
      <c r="F185" s="172"/>
      <c r="G185" s="216" t="s">
        <v>706</v>
      </c>
      <c r="H185" s="165" t="s">
        <v>16</v>
      </c>
      <c r="I185" s="200">
        <v>2</v>
      </c>
      <c r="J185" s="200"/>
      <c r="K185" s="172"/>
      <c r="L185" s="200">
        <v>20</v>
      </c>
    </row>
    <row r="186" spans="1:14" s="172" customFormat="1">
      <c r="A186" s="172">
        <f>COUNTA(C176:C185)</f>
        <v>10</v>
      </c>
      <c r="C186" s="199"/>
      <c r="D186" s="165"/>
      <c r="E186" s="165">
        <f>COUNTIF(E176:E185,"Y")</f>
        <v>0</v>
      </c>
      <c r="G186" s="165"/>
      <c r="H186" s="165"/>
      <c r="I186" s="200"/>
      <c r="J186" s="200"/>
      <c r="L186" s="200"/>
    </row>
    <row r="187" spans="1:14">
      <c r="A187" s="159" t="s">
        <v>33</v>
      </c>
      <c r="B187" s="198" t="s">
        <v>633</v>
      </c>
      <c r="C187" s="172"/>
      <c r="F187" s="172"/>
      <c r="G187" s="201" t="s">
        <v>32</v>
      </c>
      <c r="I187" s="200"/>
      <c r="J187" s="200"/>
      <c r="K187" s="172"/>
      <c r="L187" s="172"/>
    </row>
    <row r="188" spans="1:14">
      <c r="B188" s="172"/>
      <c r="C188" s="199" t="s">
        <v>634</v>
      </c>
      <c r="D188" s="165" t="s">
        <v>469</v>
      </c>
      <c r="F188" s="172"/>
      <c r="G188" s="216" t="s">
        <v>706</v>
      </c>
      <c r="H188" s="165" t="s">
        <v>16</v>
      </c>
      <c r="I188" s="200">
        <v>2</v>
      </c>
      <c r="J188" s="200"/>
      <c r="K188" s="172"/>
      <c r="L188" s="172"/>
    </row>
    <row r="189" spans="1:14">
      <c r="B189" s="172"/>
      <c r="C189" s="199" t="s">
        <v>468</v>
      </c>
      <c r="F189" s="172"/>
      <c r="G189" s="216" t="s">
        <v>32</v>
      </c>
      <c r="I189" s="200">
        <v>2</v>
      </c>
      <c r="J189" s="200"/>
      <c r="K189" s="172"/>
      <c r="L189" s="172"/>
      <c r="N189" s="165" t="s">
        <v>699</v>
      </c>
    </row>
    <row r="190" spans="1:14">
      <c r="B190" s="172"/>
      <c r="C190" s="199" t="s">
        <v>635</v>
      </c>
      <c r="F190" s="172"/>
      <c r="G190" s="216" t="s">
        <v>32</v>
      </c>
      <c r="I190" s="200">
        <v>2</v>
      </c>
      <c r="J190" s="200"/>
      <c r="K190" s="172"/>
      <c r="L190" s="172"/>
      <c r="N190" s="165" t="s">
        <v>699</v>
      </c>
    </row>
    <row r="191" spans="1:14">
      <c r="B191" s="172"/>
      <c r="C191" s="199" t="s">
        <v>636</v>
      </c>
      <c r="D191" s="165" t="s">
        <v>469</v>
      </c>
      <c r="F191" s="172"/>
      <c r="G191" s="216" t="s">
        <v>706</v>
      </c>
      <c r="H191" s="165" t="s">
        <v>16</v>
      </c>
      <c r="I191" s="200">
        <v>2</v>
      </c>
      <c r="J191" s="200"/>
      <c r="K191" s="172"/>
      <c r="L191" s="172"/>
    </row>
    <row r="192" spans="1:14">
      <c r="B192" s="172"/>
      <c r="C192" s="199" t="s">
        <v>637</v>
      </c>
      <c r="D192" s="165" t="s">
        <v>469</v>
      </c>
      <c r="F192" s="172"/>
      <c r="G192" s="216" t="s">
        <v>706</v>
      </c>
      <c r="H192" s="165" t="s">
        <v>16</v>
      </c>
      <c r="I192" s="200">
        <v>2</v>
      </c>
      <c r="J192" s="200"/>
      <c r="K192" s="172"/>
      <c r="L192" s="172"/>
    </row>
    <row r="193" spans="1:24">
      <c r="B193" s="172"/>
      <c r="C193" s="199" t="s">
        <v>638</v>
      </c>
      <c r="F193" s="172"/>
      <c r="I193" s="200">
        <v>2</v>
      </c>
      <c r="J193" s="200"/>
      <c r="K193" s="172"/>
      <c r="L193" s="172"/>
    </row>
    <row r="194" spans="1:24">
      <c r="B194" s="172"/>
      <c r="C194" s="199" t="s">
        <v>639</v>
      </c>
      <c r="D194" s="165" t="s">
        <v>469</v>
      </c>
      <c r="F194" s="172"/>
      <c r="G194" s="216" t="s">
        <v>706</v>
      </c>
      <c r="H194" s="165" t="s">
        <v>16</v>
      </c>
      <c r="I194" s="200">
        <v>2</v>
      </c>
      <c r="J194" s="200"/>
      <c r="K194" s="172"/>
      <c r="L194" s="172"/>
    </row>
    <row r="195" spans="1:24">
      <c r="B195" s="172"/>
      <c r="C195" s="199" t="s">
        <v>640</v>
      </c>
      <c r="D195" s="165" t="s">
        <v>469</v>
      </c>
      <c r="F195" s="172"/>
      <c r="G195" s="216" t="s">
        <v>706</v>
      </c>
      <c r="H195" s="165" t="s">
        <v>16</v>
      </c>
      <c r="I195" s="200">
        <v>2</v>
      </c>
      <c r="J195" s="200"/>
      <c r="K195" s="172"/>
      <c r="L195" s="172"/>
    </row>
    <row r="196" spans="1:24">
      <c r="B196" s="172"/>
      <c r="C196" s="199" t="s">
        <v>641</v>
      </c>
      <c r="D196" s="165" t="s">
        <v>469</v>
      </c>
      <c r="F196" s="172"/>
      <c r="G196" s="216" t="s">
        <v>706</v>
      </c>
      <c r="H196" s="165" t="s">
        <v>16</v>
      </c>
      <c r="I196" s="200">
        <v>2</v>
      </c>
      <c r="J196" s="200"/>
      <c r="K196" s="172"/>
      <c r="L196" s="172"/>
    </row>
    <row r="197" spans="1:24">
      <c r="B197" s="172"/>
      <c r="C197" s="199" t="s">
        <v>642</v>
      </c>
      <c r="D197" s="165" t="s">
        <v>469</v>
      </c>
      <c r="F197" s="172"/>
      <c r="G197" s="216" t="s">
        <v>706</v>
      </c>
      <c r="H197" s="165" t="s">
        <v>16</v>
      </c>
      <c r="I197" s="200">
        <v>2</v>
      </c>
      <c r="J197" s="200"/>
      <c r="K197" s="172"/>
      <c r="L197" s="172"/>
    </row>
    <row r="198" spans="1:24">
      <c r="B198" s="172"/>
      <c r="C198" s="199" t="s">
        <v>643</v>
      </c>
      <c r="D198" s="165" t="s">
        <v>469</v>
      </c>
      <c r="F198" s="172"/>
      <c r="G198" s="216" t="s">
        <v>706</v>
      </c>
      <c r="H198" s="165" t="s">
        <v>16</v>
      </c>
      <c r="I198" s="200">
        <v>2</v>
      </c>
      <c r="J198" s="200"/>
      <c r="K198" s="172"/>
      <c r="L198" s="200">
        <v>24</v>
      </c>
    </row>
    <row r="199" spans="1:24" s="172" customFormat="1">
      <c r="A199" s="172">
        <f>COUNTA(C188:C198)</f>
        <v>11</v>
      </c>
      <c r="C199" s="199"/>
      <c r="D199" s="165"/>
      <c r="E199" s="165">
        <f>COUNTIF(E188:E198,"Y")</f>
        <v>0</v>
      </c>
      <c r="G199" s="165"/>
      <c r="H199" s="165"/>
      <c r="I199" s="200"/>
      <c r="J199" s="200"/>
      <c r="L199" s="200"/>
    </row>
    <row r="200" spans="1:24">
      <c r="A200" s="159" t="s">
        <v>33</v>
      </c>
      <c r="B200" s="198" t="s">
        <v>644</v>
      </c>
      <c r="C200" s="172"/>
      <c r="F200" s="172"/>
      <c r="G200" s="201" t="s">
        <v>32</v>
      </c>
      <c r="I200" s="200"/>
      <c r="J200" s="200"/>
      <c r="K200" s="172"/>
      <c r="L200" s="172"/>
    </row>
    <row r="201" spans="1:24">
      <c r="B201" s="172"/>
      <c r="C201" s="199" t="s">
        <v>645</v>
      </c>
      <c r="F201" s="172"/>
      <c r="I201" s="200">
        <v>2</v>
      </c>
      <c r="J201" s="200"/>
      <c r="K201" s="172"/>
      <c r="L201" s="172"/>
    </row>
    <row r="202" spans="1:24">
      <c r="B202" s="172"/>
      <c r="C202" s="199" t="s">
        <v>646</v>
      </c>
      <c r="D202" s="165" t="s">
        <v>469</v>
      </c>
      <c r="F202" s="172"/>
      <c r="G202" s="216" t="s">
        <v>706</v>
      </c>
      <c r="H202" s="165" t="s">
        <v>16</v>
      </c>
      <c r="I202" s="200">
        <v>2</v>
      </c>
      <c r="J202" s="200"/>
      <c r="K202" s="172"/>
      <c r="L202" s="172"/>
    </row>
    <row r="203" spans="1:24">
      <c r="B203" s="172"/>
      <c r="C203" s="199" t="s">
        <v>647</v>
      </c>
      <c r="D203" s="165" t="s">
        <v>469</v>
      </c>
      <c r="F203" s="172"/>
      <c r="G203" s="216" t="s">
        <v>706</v>
      </c>
      <c r="H203" s="165" t="s">
        <v>16</v>
      </c>
      <c r="I203" s="200">
        <v>2</v>
      </c>
      <c r="J203" s="200"/>
      <c r="K203" s="172"/>
      <c r="L203" s="172"/>
    </row>
    <row r="204" spans="1:24">
      <c r="B204" s="172"/>
      <c r="C204" s="199" t="s">
        <v>648</v>
      </c>
      <c r="D204" s="165" t="s">
        <v>469</v>
      </c>
      <c r="F204" s="172"/>
      <c r="G204" s="216" t="s">
        <v>706</v>
      </c>
      <c r="H204" s="165" t="s">
        <v>16</v>
      </c>
      <c r="I204" s="200">
        <v>2</v>
      </c>
      <c r="J204" s="200"/>
      <c r="K204" s="172"/>
      <c r="L204" s="172"/>
    </row>
    <row r="205" spans="1:24">
      <c r="B205" s="172"/>
      <c r="C205" s="199" t="s">
        <v>649</v>
      </c>
      <c r="D205" s="165" t="s">
        <v>469</v>
      </c>
      <c r="F205" s="172"/>
      <c r="G205" s="216" t="s">
        <v>706</v>
      </c>
      <c r="H205" s="165" t="s">
        <v>16</v>
      </c>
      <c r="I205" s="200">
        <v>2</v>
      </c>
      <c r="J205" s="200"/>
      <c r="K205" s="172"/>
      <c r="L205" s="172"/>
    </row>
    <row r="206" spans="1:24">
      <c r="B206" s="172"/>
      <c r="C206" s="199" t="s">
        <v>650</v>
      </c>
      <c r="F206" s="172"/>
      <c r="I206" s="200">
        <v>2</v>
      </c>
      <c r="J206" s="255"/>
      <c r="K206" s="243"/>
      <c r="L206" s="243"/>
      <c r="N206" s="243"/>
      <c r="O206" s="243"/>
      <c r="P206" s="243"/>
      <c r="R206" s="243"/>
      <c r="S206" s="243"/>
      <c r="T206" s="243"/>
      <c r="U206" s="243"/>
      <c r="V206" s="243"/>
      <c r="W206" s="243"/>
      <c r="X206" s="243"/>
    </row>
    <row r="207" spans="1:24" s="242" customFormat="1">
      <c r="A207" s="250"/>
      <c r="B207" s="250"/>
      <c r="C207" s="251" t="s">
        <v>651</v>
      </c>
      <c r="D207" s="251" t="s">
        <v>469</v>
      </c>
      <c r="E207" s="270"/>
      <c r="F207" s="258"/>
      <c r="G207" s="269" t="s">
        <v>706</v>
      </c>
      <c r="H207" s="259" t="s">
        <v>16</v>
      </c>
      <c r="I207" s="252">
        <v>2</v>
      </c>
      <c r="J207" s="244"/>
      <c r="K207" s="256"/>
      <c r="L207" s="250"/>
      <c r="M207" s="257"/>
      <c r="N207" s="250"/>
      <c r="O207" s="250"/>
      <c r="P207" s="260"/>
      <c r="Q207" s="254"/>
      <c r="R207" s="250"/>
      <c r="S207" s="256"/>
      <c r="T207" s="256"/>
      <c r="U207" s="256"/>
      <c r="V207" s="256"/>
      <c r="W207" s="256"/>
      <c r="X207" s="249"/>
    </row>
    <row r="208" spans="1:24" s="242" customFormat="1">
      <c r="A208" s="250"/>
      <c r="B208" s="250"/>
      <c r="C208" s="251" t="s">
        <v>652</v>
      </c>
      <c r="D208" s="251" t="s">
        <v>469</v>
      </c>
      <c r="E208" s="270"/>
      <c r="F208" s="258"/>
      <c r="G208" s="251" t="s">
        <v>706</v>
      </c>
      <c r="H208" s="253" t="s">
        <v>16</v>
      </c>
      <c r="I208" s="244">
        <v>2</v>
      </c>
      <c r="J208" s="244"/>
      <c r="K208" s="256"/>
      <c r="L208" s="250"/>
      <c r="M208" s="258"/>
      <c r="N208" s="250"/>
      <c r="O208" s="250"/>
      <c r="P208" s="249"/>
      <c r="Q208" s="254"/>
      <c r="R208" s="250"/>
      <c r="S208" s="256"/>
      <c r="T208" s="256"/>
      <c r="U208" s="256"/>
      <c r="V208" s="256"/>
      <c r="W208" s="256"/>
      <c r="X208" s="249"/>
    </row>
    <row r="209" spans="1:12">
      <c r="A209" s="245"/>
      <c r="B209" s="243"/>
      <c r="C209" s="246" t="s">
        <v>653</v>
      </c>
      <c r="D209" s="247" t="s">
        <v>469</v>
      </c>
      <c r="E209" s="247"/>
      <c r="F209" s="243"/>
      <c r="G209" s="268" t="s">
        <v>706</v>
      </c>
      <c r="H209" s="247" t="s">
        <v>16</v>
      </c>
      <c r="I209" s="248">
        <v>2</v>
      </c>
      <c r="J209" s="200"/>
      <c r="K209" s="172"/>
      <c r="L209" s="200">
        <v>18</v>
      </c>
    </row>
    <row r="210" spans="1:12" s="172" customFormat="1">
      <c r="A210" s="172">
        <f>COUNTA(C201:C209)</f>
        <v>9</v>
      </c>
      <c r="C210" s="199"/>
      <c r="D210" s="165"/>
      <c r="E210" s="165">
        <f>COUNTIF(E201:E209,"Y")</f>
        <v>0</v>
      </c>
      <c r="G210" s="165"/>
      <c r="H210" s="165"/>
      <c r="I210" s="200"/>
      <c r="J210" s="200"/>
      <c r="L210" s="200"/>
    </row>
    <row r="211" spans="1:12">
      <c r="A211" s="159" t="s">
        <v>33</v>
      </c>
      <c r="B211" s="198" t="s">
        <v>654</v>
      </c>
      <c r="C211" s="243"/>
      <c r="F211" s="172"/>
      <c r="G211" s="201" t="s">
        <v>32</v>
      </c>
      <c r="I211" s="200" t="s">
        <v>32</v>
      </c>
      <c r="J211" s="200"/>
      <c r="K211" s="172"/>
      <c r="L211" s="172"/>
    </row>
    <row r="212" spans="1:12">
      <c r="B212" s="263"/>
      <c r="C212" s="262" t="s">
        <v>655</v>
      </c>
      <c r="D212" s="165" t="s">
        <v>469</v>
      </c>
      <c r="F212" s="172"/>
      <c r="G212" s="216" t="s">
        <v>706</v>
      </c>
      <c r="H212" s="165" t="s">
        <v>16</v>
      </c>
      <c r="I212" s="200">
        <v>2</v>
      </c>
      <c r="J212" s="200"/>
      <c r="K212" s="172"/>
      <c r="L212" s="172"/>
    </row>
    <row r="213" spans="1:12">
      <c r="B213" s="243"/>
      <c r="C213" s="261" t="s">
        <v>656</v>
      </c>
      <c r="D213" s="165" t="s">
        <v>469</v>
      </c>
      <c r="F213" s="172"/>
      <c r="G213" s="216" t="s">
        <v>706</v>
      </c>
      <c r="H213" s="165" t="s">
        <v>16</v>
      </c>
      <c r="I213" s="200">
        <v>2</v>
      </c>
      <c r="J213" s="200"/>
      <c r="K213" s="172"/>
      <c r="L213" s="172"/>
    </row>
    <row r="214" spans="1:12">
      <c r="B214" s="172"/>
      <c r="C214" s="261" t="s">
        <v>657</v>
      </c>
      <c r="D214" s="216" t="s">
        <v>469</v>
      </c>
      <c r="F214" s="172"/>
      <c r="G214" s="216" t="s">
        <v>706</v>
      </c>
      <c r="H214" s="216" t="s">
        <v>16</v>
      </c>
      <c r="I214" s="200">
        <v>2</v>
      </c>
      <c r="J214" s="200"/>
      <c r="K214" s="172"/>
      <c r="L214" s="172"/>
    </row>
    <row r="215" spans="1:12">
      <c r="B215" s="172"/>
      <c r="C215" s="261" t="s">
        <v>658</v>
      </c>
      <c r="D215" s="216" t="s">
        <v>469</v>
      </c>
      <c r="F215" s="172"/>
      <c r="G215" s="216" t="s">
        <v>706</v>
      </c>
      <c r="H215" s="216" t="s">
        <v>16</v>
      </c>
      <c r="I215" s="200">
        <v>2</v>
      </c>
      <c r="J215" s="200"/>
      <c r="K215" s="172"/>
      <c r="L215" s="172"/>
    </row>
    <row r="216" spans="1:12">
      <c r="B216" s="172"/>
      <c r="C216" s="261" t="s">
        <v>659</v>
      </c>
      <c r="D216" s="165" t="s">
        <v>469</v>
      </c>
      <c r="F216" s="172"/>
      <c r="G216" s="216" t="s">
        <v>706</v>
      </c>
      <c r="H216" s="165" t="s">
        <v>16</v>
      </c>
      <c r="I216" s="200">
        <v>2</v>
      </c>
      <c r="J216" s="200"/>
      <c r="K216" s="172"/>
      <c r="L216" s="200">
        <v>14</v>
      </c>
    </row>
    <row r="217" spans="1:12" s="172" customFormat="1">
      <c r="A217" s="172">
        <f>COUNTA(C212:C216)</f>
        <v>5</v>
      </c>
      <c r="C217" s="199"/>
      <c r="D217" s="165"/>
      <c r="E217" s="165">
        <f>COUNTIF(E212:E216,"Y")</f>
        <v>0</v>
      </c>
      <c r="G217" s="165"/>
      <c r="H217" s="165"/>
      <c r="I217" s="200"/>
      <c r="J217" s="200"/>
      <c r="L217" s="200"/>
    </row>
    <row r="218" spans="1:12">
      <c r="A218" s="159" t="s">
        <v>33</v>
      </c>
      <c r="B218" s="198" t="s">
        <v>660</v>
      </c>
      <c r="C218" s="172"/>
      <c r="F218" s="172"/>
      <c r="G218" s="201" t="s">
        <v>32</v>
      </c>
      <c r="I218" s="200"/>
      <c r="J218" s="200"/>
      <c r="K218" s="172"/>
      <c r="L218" s="172"/>
    </row>
    <row r="219" spans="1:12">
      <c r="B219" s="172"/>
      <c r="C219" s="199" t="s">
        <v>661</v>
      </c>
      <c r="F219" s="172"/>
      <c r="I219" s="200">
        <v>2</v>
      </c>
      <c r="J219" s="200"/>
      <c r="K219" s="172"/>
      <c r="L219" s="172"/>
    </row>
    <row r="220" spans="1:12">
      <c r="B220" s="172"/>
      <c r="C220" s="199" t="s">
        <v>662</v>
      </c>
      <c r="F220" s="172"/>
      <c r="I220" s="200">
        <v>2</v>
      </c>
      <c r="J220" s="200"/>
      <c r="K220" s="172"/>
      <c r="L220" s="172"/>
    </row>
    <row r="221" spans="1:12">
      <c r="B221" s="172"/>
      <c r="C221" s="199" t="s">
        <v>663</v>
      </c>
      <c r="F221" s="172"/>
      <c r="I221" s="200">
        <v>2</v>
      </c>
      <c r="J221" s="200"/>
      <c r="K221" s="172"/>
      <c r="L221" s="172"/>
    </row>
    <row r="222" spans="1:12">
      <c r="B222" s="172"/>
      <c r="C222" s="199" t="s">
        <v>664</v>
      </c>
      <c r="F222" s="172"/>
      <c r="I222" s="200">
        <v>2</v>
      </c>
      <c r="J222" s="200"/>
      <c r="K222" s="172"/>
      <c r="L222" s="172"/>
    </row>
    <row r="223" spans="1:12">
      <c r="A223" s="172">
        <f>COUNTA(C219:C222)</f>
        <v>4</v>
      </c>
      <c r="B223" s="172"/>
      <c r="C223" s="172"/>
      <c r="E223" s="165">
        <f>COUNTIF(E219:E222,"Y")</f>
        <v>0</v>
      </c>
      <c r="F223" s="172"/>
      <c r="I223" s="200">
        <v>2</v>
      </c>
      <c r="J223" s="200"/>
      <c r="K223" s="172"/>
      <c r="L223" s="200">
        <v>10</v>
      </c>
    </row>
    <row r="224" spans="1:12">
      <c r="B224" s="197" t="s">
        <v>665</v>
      </c>
      <c r="C224" s="206"/>
      <c r="D224" s="211"/>
      <c r="F224" s="211"/>
      <c r="G224" s="212"/>
      <c r="H224" s="211"/>
      <c r="I224" s="207">
        <v>384</v>
      </c>
      <c r="J224" s="207">
        <v>0</v>
      </c>
      <c r="K224" s="197">
        <v>192</v>
      </c>
      <c r="L224" s="197">
        <v>192</v>
      </c>
    </row>
    <row r="225" spans="1:12">
      <c r="B225" s="197"/>
      <c r="C225" s="172"/>
      <c r="F225" s="172"/>
      <c r="I225" s="200"/>
      <c r="J225" s="200"/>
      <c r="K225" s="172"/>
      <c r="L225" s="172"/>
    </row>
    <row r="226" spans="1:12">
      <c r="B226" s="197" t="s">
        <v>666</v>
      </c>
      <c r="C226" s="206"/>
      <c r="D226" s="212"/>
      <c r="F226" s="212"/>
      <c r="G226" s="212"/>
      <c r="H226" s="212"/>
      <c r="I226" s="207">
        <v>59.07692307692308</v>
      </c>
      <c r="J226" s="207">
        <v>0</v>
      </c>
      <c r="K226" s="207">
        <v>29.53846153846154</v>
      </c>
      <c r="L226" s="207">
        <v>29.53846153846154</v>
      </c>
    </row>
    <row r="227" spans="1:12">
      <c r="B227" s="172"/>
      <c r="C227" s="206"/>
      <c r="F227" s="172"/>
      <c r="I227" s="172"/>
      <c r="J227" s="172"/>
      <c r="K227" s="172"/>
      <c r="L227" s="172"/>
    </row>
    <row r="228" spans="1:12">
      <c r="B228" s="197" t="s">
        <v>667</v>
      </c>
      <c r="C228" s="199">
        <f>COUNTA(C3:C222)</f>
        <v>175</v>
      </c>
      <c r="F228" s="172"/>
      <c r="I228" s="172"/>
      <c r="J228" s="172"/>
      <c r="K228" s="172"/>
      <c r="L228" s="172"/>
    </row>
    <row r="229" spans="1:12">
      <c r="B229" s="197" t="s">
        <v>668</v>
      </c>
      <c r="C229" s="199">
        <f>COUNTIF(D3:D222,"y")</f>
        <v>74</v>
      </c>
      <c r="F229" s="172"/>
      <c r="I229" s="172"/>
      <c r="J229" s="172"/>
      <c r="K229" s="172"/>
      <c r="L229" s="172"/>
    </row>
    <row r="230" spans="1:12">
      <c r="B230" s="197" t="s">
        <v>669</v>
      </c>
      <c r="C230" s="208">
        <f>SUM(C229/C228)</f>
        <v>0.42285714285714288</v>
      </c>
      <c r="F230" s="172"/>
      <c r="I230" s="172"/>
      <c r="J230" s="172"/>
      <c r="K230" s="172"/>
      <c r="L230" s="172"/>
    </row>
    <row r="231" spans="1:12">
      <c r="B231" s="197" t="s">
        <v>680</v>
      </c>
      <c r="E231" s="165">
        <f>COUNTIF(E3:E222,"y")</f>
        <v>2</v>
      </c>
    </row>
    <row r="232" spans="1:12" s="172" customFormat="1">
      <c r="B232" s="197"/>
      <c r="D232" s="165"/>
      <c r="E232" s="165"/>
      <c r="G232" s="165"/>
      <c r="H232" s="165"/>
    </row>
    <row r="233" spans="1:12">
      <c r="A233" s="199">
        <f>COUNTIF(G3:G223,"ClaudieQ1")</f>
        <v>3</v>
      </c>
      <c r="B233" s="197" t="s">
        <v>712</v>
      </c>
    </row>
    <row r="234" spans="1:12">
      <c r="A234" s="199">
        <f>COUNTIF(G3:G223,"ClaudieQ2")</f>
        <v>62</v>
      </c>
      <c r="B234" s="197" t="s">
        <v>713</v>
      </c>
    </row>
    <row r="235" spans="1:12">
      <c r="A235" s="199">
        <f>COUNTIF(G3:G223,"ClaudieQ3")</f>
        <v>0</v>
      </c>
      <c r="B235" s="197" t="s">
        <v>714</v>
      </c>
    </row>
    <row r="236" spans="1:12">
      <c r="A236" s="199">
        <f>COUNTIF(G3:G223,"ClaudieQ4")</f>
        <v>0</v>
      </c>
      <c r="B236" s="197" t="s">
        <v>715</v>
      </c>
    </row>
    <row r="237" spans="1:12" s="172" customFormat="1">
      <c r="B237" s="197"/>
      <c r="D237" s="165"/>
      <c r="E237" s="165"/>
      <c r="G237" s="165"/>
      <c r="H237" s="165"/>
    </row>
    <row r="238" spans="1:12">
      <c r="A238" s="199">
        <f>COUNTIF(G3:G223,"LisaQ1")</f>
        <v>1</v>
      </c>
      <c r="B238" s="197" t="s">
        <v>708</v>
      </c>
    </row>
    <row r="239" spans="1:12">
      <c r="A239" s="199">
        <f>COUNTIF(G3:G223,"LisaQ2")</f>
        <v>11</v>
      </c>
      <c r="B239" s="197" t="s">
        <v>709</v>
      </c>
    </row>
    <row r="240" spans="1:12">
      <c r="A240" s="199">
        <f>COUNTIF(G3:G223,"LisaQ3")</f>
        <v>0</v>
      </c>
      <c r="B240" s="197" t="s">
        <v>710</v>
      </c>
    </row>
    <row r="241" spans="1:8">
      <c r="A241" s="199">
        <f>COUNTIF(G3:G223,"LisaQ4")</f>
        <v>0</v>
      </c>
      <c r="B241" s="197" t="s">
        <v>711</v>
      </c>
    </row>
    <row r="242" spans="1:8" s="172" customFormat="1">
      <c r="B242" s="197"/>
      <c r="D242" s="165"/>
      <c r="E242" s="165"/>
      <c r="G242" s="165"/>
      <c r="H242" s="165"/>
    </row>
    <row r="243" spans="1:8">
      <c r="A243" s="199">
        <f>COUNTIF(G3:G223,"ScottQ1")</f>
        <v>0</v>
      </c>
      <c r="B243" s="197" t="s">
        <v>716</v>
      </c>
    </row>
    <row r="244" spans="1:8">
      <c r="A244" s="199">
        <f>COUNTIF(G3:G223,"ScottQ2")</f>
        <v>0</v>
      </c>
      <c r="B244" s="197" t="s">
        <v>717</v>
      </c>
    </row>
    <row r="245" spans="1:8">
      <c r="A245" s="199">
        <f>COUNTIF(G3:G223,"ScottQ3")</f>
        <v>0</v>
      </c>
      <c r="B245" s="197" t="s">
        <v>718</v>
      </c>
    </row>
    <row r="246" spans="1:8">
      <c r="A246" s="199">
        <f>COUNTIF(G3:G223,"ScottQ4")</f>
        <v>0</v>
      </c>
      <c r="B246" s="197" t="s">
        <v>719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G2" sqref="G2"/>
    </sheetView>
  </sheetViews>
  <sheetFormatPr defaultRowHeight="12.75"/>
  <cols>
    <col min="1" max="1" width="26.5703125" customWidth="1"/>
    <col min="2" max="2" width="7.85546875" bestFit="1" customWidth="1"/>
    <col min="3" max="3" width="13.28515625" bestFit="1" customWidth="1"/>
    <col min="4" max="4" width="11.85546875" customWidth="1"/>
    <col min="5" max="5" width="8.140625" bestFit="1" customWidth="1"/>
    <col min="6" max="7" width="13.140625" bestFit="1" customWidth="1"/>
    <col min="8" max="9" width="13.140625" customWidth="1"/>
    <col min="10" max="10" width="8" bestFit="1" customWidth="1"/>
    <col min="11" max="11" width="10.140625" customWidth="1"/>
  </cols>
  <sheetData>
    <row r="1" spans="1:11" s="1" customFormat="1" ht="26.25" thickBot="1">
      <c r="A1" s="3" t="s">
        <v>0</v>
      </c>
      <c r="B1" s="4" t="s">
        <v>1</v>
      </c>
      <c r="C1" s="236" t="s">
        <v>4</v>
      </c>
      <c r="D1" s="236" t="s">
        <v>2</v>
      </c>
      <c r="E1" s="236" t="s">
        <v>7</v>
      </c>
      <c r="F1" s="236" t="s">
        <v>22</v>
      </c>
      <c r="G1" s="236" t="s">
        <v>23</v>
      </c>
      <c r="H1" s="236" t="s">
        <v>456</v>
      </c>
      <c r="I1" s="236" t="s">
        <v>457</v>
      </c>
      <c r="J1" s="4" t="s">
        <v>6</v>
      </c>
      <c r="K1" s="5" t="s">
        <v>5</v>
      </c>
    </row>
    <row r="2" spans="1:11" s="41" customFormat="1">
      <c r="A2" s="39" t="s">
        <v>35</v>
      </c>
      <c r="B2" s="39">
        <v>2.9</v>
      </c>
      <c r="C2" s="39" t="s">
        <v>25</v>
      </c>
      <c r="D2" s="39" t="s">
        <v>26</v>
      </c>
      <c r="E2" s="39" t="s">
        <v>8</v>
      </c>
      <c r="F2" s="40">
        <f>'FY 2009 Coverage'!E36</f>
        <v>260</v>
      </c>
      <c r="G2" s="40">
        <f>'FY 2009 Coverage'!J36</f>
        <v>245</v>
      </c>
      <c r="H2" s="40"/>
      <c r="I2" s="40"/>
      <c r="J2" s="174">
        <f>'FY2010 Coverage'!F25</f>
        <v>0</v>
      </c>
      <c r="K2" s="174">
        <f>'FY2010 Coverage'!F25</f>
        <v>0</v>
      </c>
    </row>
    <row r="3" spans="1:11" s="41" customFormat="1">
      <c r="A3" s="173" t="s">
        <v>692</v>
      </c>
      <c r="B3" s="39">
        <v>2.9</v>
      </c>
      <c r="C3" s="39" t="s">
        <v>25</v>
      </c>
      <c r="D3" s="39" t="s">
        <v>26</v>
      </c>
      <c r="E3" s="39" t="s">
        <v>8</v>
      </c>
      <c r="F3" s="40"/>
      <c r="G3" s="40"/>
      <c r="H3" s="40"/>
      <c r="I3" s="40"/>
      <c r="J3" s="174">
        <f>'FY2010 Coverage'!F50</f>
        <v>2</v>
      </c>
      <c r="K3" s="174">
        <f>'FY2010 Coverage'!F50</f>
        <v>2</v>
      </c>
    </row>
    <row r="4" spans="1:11" s="41" customFormat="1">
      <c r="A4" s="173" t="s">
        <v>693</v>
      </c>
      <c r="B4" s="173">
        <v>2.9</v>
      </c>
      <c r="C4" s="173" t="s">
        <v>34</v>
      </c>
      <c r="D4" s="173" t="s">
        <v>3</v>
      </c>
      <c r="E4" s="173" t="s">
        <v>8</v>
      </c>
      <c r="F4" s="174"/>
      <c r="G4" s="174"/>
      <c r="H4" s="174"/>
      <c r="I4" s="174"/>
      <c r="J4" s="174"/>
      <c r="K4" s="174"/>
    </row>
    <row r="5" spans="1:11" ht="13.5" thickBot="1">
      <c r="E5" s="240" t="s">
        <v>12</v>
      </c>
      <c r="F5" s="241">
        <f t="shared" ref="F5:K5" si="0">SUM(F2:F3)</f>
        <v>260</v>
      </c>
      <c r="G5" s="241">
        <f t="shared" si="0"/>
        <v>245</v>
      </c>
      <c r="H5" s="241">
        <f t="shared" si="0"/>
        <v>0</v>
      </c>
      <c r="I5" s="241">
        <f t="shared" si="0"/>
        <v>0</v>
      </c>
      <c r="J5" s="241">
        <f t="shared" si="0"/>
        <v>2</v>
      </c>
      <c r="K5" s="241">
        <f t="shared" si="0"/>
        <v>2</v>
      </c>
    </row>
    <row r="6" spans="1:11" ht="13.5" thickTop="1">
      <c r="E6" s="238" t="s">
        <v>14</v>
      </c>
      <c r="G6" s="11"/>
      <c r="H6" s="11"/>
      <c r="I6" s="11"/>
      <c r="K6" s="239" t="e">
        <f>(+G5-#REF!)/#REF!</f>
        <v>#REF!</v>
      </c>
    </row>
    <row r="7" spans="1:11">
      <c r="K7" s="237"/>
    </row>
    <row r="8" spans="1:11" s="172" customFormat="1">
      <c r="K8" s="237"/>
    </row>
    <row r="10" spans="1:11">
      <c r="A10" s="281" t="s">
        <v>13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</row>
    <row r="11" spans="1:11" ht="18.600000000000001" customHeight="1">
      <c r="A11" s="282" t="s">
        <v>458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</row>
    <row r="12" spans="1:11" ht="18.600000000000001" customHeight="1">
      <c r="A12" s="282" t="s">
        <v>691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</row>
    <row r="13" spans="1:11">
      <c r="A13" s="284"/>
      <c r="B13" s="285"/>
      <c r="C13" s="285"/>
      <c r="D13" s="285"/>
      <c r="E13" s="285"/>
      <c r="F13" s="285"/>
      <c r="G13" s="285"/>
      <c r="H13" s="285"/>
      <c r="I13" s="285"/>
      <c r="J13" s="285"/>
      <c r="K13" s="285"/>
    </row>
  </sheetData>
  <mergeCells count="4">
    <mergeCell ref="A10:K10"/>
    <mergeCell ref="A11:K11"/>
    <mergeCell ref="A12:K12"/>
    <mergeCell ref="A13:K13"/>
  </mergeCells>
  <pageMargins left="0.3" right="0.2" top="0.75" bottom="0.75" header="0.3" footer="0.3"/>
  <pageSetup scale="95" orientation="landscape" r:id="rId1"/>
  <headerFooter>
    <oddHeader>&amp;C&amp;"Arial,Bold"&amp;12&amp;A</oddHeader>
    <oddFooter>&amp;R&amp;"Arial,Bold"&amp;D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zoomScaleNormal="100" workbookViewId="0">
      <selection activeCell="B5" sqref="B5"/>
    </sheetView>
  </sheetViews>
  <sheetFormatPr defaultRowHeight="12.75"/>
  <cols>
    <col min="1" max="1" width="26.5703125" customWidth="1"/>
    <col min="2" max="2" width="7.85546875" bestFit="1" customWidth="1"/>
    <col min="3" max="3" width="13.28515625" bestFit="1" customWidth="1"/>
    <col min="4" max="4" width="11.85546875" customWidth="1"/>
    <col min="5" max="5" width="8.140625" bestFit="1" customWidth="1"/>
    <col min="6" max="7" width="13.140625" bestFit="1" customWidth="1"/>
    <col min="8" max="8" width="8" bestFit="1" customWidth="1"/>
    <col min="9" max="9" width="10.140625" customWidth="1"/>
  </cols>
  <sheetData>
    <row r="1" spans="1:9" s="1" customFormat="1" ht="26.25" thickBot="1">
      <c r="A1" s="3" t="s">
        <v>0</v>
      </c>
      <c r="B1" s="4" t="s">
        <v>1</v>
      </c>
      <c r="C1" s="4" t="s">
        <v>4</v>
      </c>
      <c r="D1" s="4" t="s">
        <v>2</v>
      </c>
      <c r="E1" s="4" t="s">
        <v>7</v>
      </c>
      <c r="F1" s="4" t="s">
        <v>22</v>
      </c>
      <c r="G1" s="4" t="s">
        <v>23</v>
      </c>
      <c r="H1" s="4" t="s">
        <v>6</v>
      </c>
      <c r="I1" s="5" t="s">
        <v>5</v>
      </c>
    </row>
    <row r="2" spans="1:9" s="41" customFormat="1">
      <c r="A2" s="39" t="s">
        <v>35</v>
      </c>
      <c r="B2" s="39">
        <v>2.9</v>
      </c>
      <c r="C2" s="39" t="s">
        <v>25</v>
      </c>
      <c r="D2" s="39" t="s">
        <v>26</v>
      </c>
      <c r="E2" s="39" t="s">
        <v>8</v>
      </c>
      <c r="F2" s="40">
        <f>'FY 2009 Coverage'!E36</f>
        <v>260</v>
      </c>
      <c r="G2" s="40">
        <f>'FY 2009 Coverage'!J36</f>
        <v>245</v>
      </c>
      <c r="H2" s="40">
        <v>4</v>
      </c>
      <c r="I2" s="40">
        <v>248</v>
      </c>
    </row>
    <row r="3" spans="1:9" s="41" customFormat="1">
      <c r="A3" s="173" t="s">
        <v>692</v>
      </c>
      <c r="B3" s="39">
        <v>2.9</v>
      </c>
      <c r="C3" s="39" t="s">
        <v>25</v>
      </c>
      <c r="D3" s="39" t="s">
        <v>26</v>
      </c>
      <c r="E3" s="39" t="s">
        <v>8</v>
      </c>
      <c r="F3" s="40"/>
      <c r="G3" s="40"/>
      <c r="H3" s="40"/>
      <c r="I3" s="40"/>
    </row>
    <row r="4" spans="1:9" s="41" customFormat="1">
      <c r="A4" s="53" t="s">
        <v>693</v>
      </c>
      <c r="B4" s="53">
        <v>2.9</v>
      </c>
      <c r="C4" s="53" t="s">
        <v>34</v>
      </c>
      <c r="D4" s="53" t="s">
        <v>3</v>
      </c>
      <c r="E4" s="53" t="s">
        <v>8</v>
      </c>
      <c r="F4" s="54"/>
      <c r="G4" s="54"/>
      <c r="H4" s="54"/>
      <c r="I4" s="54"/>
    </row>
    <row r="5" spans="1:9" ht="13.5" thickBot="1">
      <c r="E5" s="7" t="s">
        <v>12</v>
      </c>
      <c r="F5" s="8">
        <f t="shared" ref="F5:I5" si="0">SUM(F2:F3)</f>
        <v>260</v>
      </c>
      <c r="G5" s="8">
        <f t="shared" si="0"/>
        <v>245</v>
      </c>
      <c r="H5" s="8">
        <f t="shared" si="0"/>
        <v>4</v>
      </c>
      <c r="I5" s="8">
        <f t="shared" si="0"/>
        <v>248</v>
      </c>
    </row>
    <row r="6" spans="1:9" ht="14.25" thickTop="1" thickBot="1">
      <c r="E6" s="10" t="s">
        <v>14</v>
      </c>
      <c r="G6" s="11"/>
      <c r="I6" s="12" t="e">
        <f>(+G5-#REF!)/#REF!</f>
        <v>#REF!</v>
      </c>
    </row>
    <row r="7" spans="1:9" ht="13.5" thickTop="1">
      <c r="I7" s="13"/>
    </row>
    <row r="9" spans="1:9">
      <c r="A9" s="281" t="s">
        <v>13</v>
      </c>
      <c r="B9" s="281"/>
      <c r="C9" s="281"/>
      <c r="D9" s="281"/>
      <c r="E9" s="281"/>
      <c r="F9" s="281"/>
      <c r="G9" s="281"/>
      <c r="H9" s="281"/>
      <c r="I9" s="281"/>
    </row>
    <row r="10" spans="1:9" s="228" customFormat="1" ht="18" customHeight="1">
      <c r="A10" s="286" t="s">
        <v>458</v>
      </c>
      <c r="B10" s="287"/>
      <c r="C10" s="287"/>
      <c r="D10" s="287"/>
      <c r="E10" s="287"/>
      <c r="F10" s="287"/>
      <c r="G10" s="287"/>
      <c r="H10" s="287"/>
      <c r="I10" s="287"/>
    </row>
    <row r="11" spans="1:9" s="228" customFormat="1" ht="18" customHeight="1">
      <c r="A11" s="286" t="s">
        <v>691</v>
      </c>
      <c r="B11" s="287"/>
      <c r="C11" s="287"/>
      <c r="D11" s="287"/>
      <c r="E11" s="287"/>
      <c r="F11" s="287"/>
      <c r="G11" s="287"/>
      <c r="H11" s="287"/>
      <c r="I11" s="287"/>
    </row>
    <row r="12" spans="1:9">
      <c r="A12" s="284" t="s">
        <v>32</v>
      </c>
      <c r="B12" s="285"/>
      <c r="C12" s="285"/>
      <c r="D12" s="285"/>
      <c r="E12" s="285"/>
      <c r="F12" s="285"/>
      <c r="G12" s="285"/>
      <c r="H12" s="285"/>
      <c r="I12" s="285"/>
    </row>
  </sheetData>
  <mergeCells count="4">
    <mergeCell ref="A9:I9"/>
    <mergeCell ref="A10:I10"/>
    <mergeCell ref="A11:I11"/>
    <mergeCell ref="A12:I12"/>
  </mergeCells>
  <pageMargins left="0.25" right="0.25" top="0.5" bottom="0.5" header="0.25" footer="0.25"/>
  <pageSetup orientation="landscape" r:id="rId1"/>
  <headerFooter alignWithMargins="0">
    <oddHeader>&amp;C&amp;A</oddHeader>
    <oddFooter>&amp;L&amp;"Arial,Bold"Allen Systems Group, Inc. Confidential&amp;C&amp;D&amp;RPage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K21"/>
  <sheetViews>
    <sheetView zoomScaleNormal="100" workbookViewId="0">
      <selection activeCell="A36" sqref="A36"/>
    </sheetView>
  </sheetViews>
  <sheetFormatPr defaultRowHeight="12.75"/>
  <cols>
    <col min="1" max="1" width="29.5703125" customWidth="1"/>
    <col min="11" max="11" width="11.7109375" customWidth="1"/>
  </cols>
  <sheetData>
    <row r="1" spans="1:11" ht="13.5" thickBot="1">
      <c r="A1" s="290" t="s">
        <v>20</v>
      </c>
      <c r="B1" s="290"/>
      <c r="C1" s="290"/>
      <c r="D1" s="290"/>
      <c r="E1" s="290"/>
      <c r="F1" s="290"/>
      <c r="G1" s="290"/>
      <c r="H1" s="290"/>
      <c r="I1" s="290"/>
    </row>
    <row r="2" spans="1:11">
      <c r="A2" s="21"/>
      <c r="B2" s="279" t="s">
        <v>15</v>
      </c>
      <c r="C2" s="280"/>
      <c r="D2" s="291" t="s">
        <v>16</v>
      </c>
      <c r="E2" s="292"/>
      <c r="F2" s="289" t="s">
        <v>17</v>
      </c>
      <c r="G2" s="280"/>
      <c r="H2" s="291" t="s">
        <v>18</v>
      </c>
      <c r="I2" s="292"/>
      <c r="J2" s="288" t="s">
        <v>449</v>
      </c>
      <c r="K2" s="289"/>
    </row>
    <row r="3" spans="1:11">
      <c r="A3" s="22" t="s">
        <v>450</v>
      </c>
      <c r="B3" s="35" t="s">
        <v>451</v>
      </c>
      <c r="C3" s="35" t="s">
        <v>19</v>
      </c>
      <c r="D3" s="35" t="s">
        <v>451</v>
      </c>
      <c r="E3" s="35" t="s">
        <v>19</v>
      </c>
      <c r="F3" s="35" t="s">
        <v>451</v>
      </c>
      <c r="G3" s="35" t="s">
        <v>19</v>
      </c>
      <c r="H3" s="35" t="s">
        <v>451</v>
      </c>
      <c r="I3" s="35" t="s">
        <v>19</v>
      </c>
      <c r="J3" s="36" t="s">
        <v>451</v>
      </c>
      <c r="K3" s="36" t="s">
        <v>19</v>
      </c>
    </row>
    <row r="4" spans="1:11" s="41" customFormat="1">
      <c r="A4" s="39" t="s">
        <v>29</v>
      </c>
      <c r="B4" s="39"/>
      <c r="C4" s="39"/>
      <c r="D4" s="39"/>
      <c r="E4" s="39"/>
      <c r="F4" s="39"/>
      <c r="G4" s="39"/>
      <c r="H4" s="39">
        <f>'FY 2009 Coverage'!E27</f>
        <v>260</v>
      </c>
      <c r="I4" s="39">
        <f>'FY 2009 Coverage'!J27</f>
        <v>245</v>
      </c>
      <c r="J4" s="39">
        <f>SUM(B4,D4,F4,H4)</f>
        <v>260</v>
      </c>
      <c r="K4" s="39">
        <f t="shared" ref="J4:K6" si="0">SUM(C4,E4,G4,I4)</f>
        <v>245</v>
      </c>
    </row>
    <row r="5" spans="1:11" s="41" customFormat="1">
      <c r="A5" s="39" t="s">
        <v>30</v>
      </c>
      <c r="B5" s="39"/>
      <c r="C5" s="39"/>
      <c r="D5" s="39"/>
      <c r="E5" s="39"/>
      <c r="F5" s="39"/>
      <c r="G5" s="39"/>
      <c r="H5" s="39"/>
      <c r="I5" s="39"/>
      <c r="J5" s="39">
        <f t="shared" si="0"/>
        <v>0</v>
      </c>
      <c r="K5" s="39">
        <f t="shared" si="0"/>
        <v>0</v>
      </c>
    </row>
    <row r="6" spans="1:11">
      <c r="A6" s="38"/>
      <c r="B6" s="2"/>
      <c r="C6" s="2"/>
      <c r="D6" s="2"/>
      <c r="E6" s="2"/>
      <c r="F6" s="2"/>
      <c r="G6" s="2"/>
      <c r="H6" s="2"/>
      <c r="I6" s="2"/>
      <c r="J6" s="2">
        <f t="shared" si="0"/>
        <v>0</v>
      </c>
      <c r="K6" s="2">
        <f t="shared" si="0"/>
        <v>0</v>
      </c>
    </row>
    <row r="7" spans="1:11" ht="13.5" thickBot="1">
      <c r="A7" s="20" t="s">
        <v>452</v>
      </c>
      <c r="B7" s="30">
        <f t="shared" ref="B7:K7" si="1">SUM(B4:B6)</f>
        <v>0</v>
      </c>
      <c r="C7" s="31">
        <f t="shared" si="1"/>
        <v>0</v>
      </c>
      <c r="D7" s="32">
        <f t="shared" si="1"/>
        <v>0</v>
      </c>
      <c r="E7" s="33">
        <f t="shared" si="1"/>
        <v>0</v>
      </c>
      <c r="F7" s="34">
        <f t="shared" si="1"/>
        <v>0</v>
      </c>
      <c r="G7" s="31">
        <f t="shared" si="1"/>
        <v>0</v>
      </c>
      <c r="H7" s="32">
        <f t="shared" si="1"/>
        <v>260</v>
      </c>
      <c r="I7" s="33">
        <f t="shared" si="1"/>
        <v>245</v>
      </c>
      <c r="J7" s="34">
        <f t="shared" si="1"/>
        <v>260</v>
      </c>
      <c r="K7" s="30">
        <f t="shared" si="1"/>
        <v>245</v>
      </c>
    </row>
    <row r="8" spans="1:11" ht="13.5" thickTop="1"/>
    <row r="12" spans="1:11" ht="13.5" thickBot="1">
      <c r="A12" s="290" t="s">
        <v>454</v>
      </c>
      <c r="B12" s="293"/>
      <c r="C12" s="293"/>
      <c r="D12" s="293"/>
      <c r="E12" s="293"/>
      <c r="F12" s="293"/>
      <c r="G12" s="293"/>
      <c r="H12" s="293"/>
      <c r="I12" s="293"/>
      <c r="J12" s="293"/>
      <c r="K12" s="293"/>
    </row>
    <row r="13" spans="1:11">
      <c r="A13" s="21"/>
      <c r="B13" s="275" t="s">
        <v>15</v>
      </c>
      <c r="C13" s="276"/>
      <c r="D13" s="294" t="s">
        <v>16</v>
      </c>
      <c r="E13" s="295"/>
      <c r="F13" s="296" t="s">
        <v>17</v>
      </c>
      <c r="G13" s="276"/>
      <c r="H13" s="294" t="s">
        <v>18</v>
      </c>
      <c r="I13" s="295"/>
      <c r="J13" s="297" t="s">
        <v>453</v>
      </c>
      <c r="K13" s="296"/>
    </row>
    <row r="14" spans="1:11">
      <c r="A14" s="28" t="s">
        <v>21</v>
      </c>
      <c r="B14" s="18" t="s">
        <v>451</v>
      </c>
      <c r="C14" s="28" t="s">
        <v>19</v>
      </c>
      <c r="D14" s="19" t="s">
        <v>451</v>
      </c>
      <c r="E14" s="25" t="s">
        <v>19</v>
      </c>
      <c r="F14" s="29" t="s">
        <v>451</v>
      </c>
      <c r="G14" s="28" t="s">
        <v>19</v>
      </c>
      <c r="H14" s="19" t="s">
        <v>451</v>
      </c>
      <c r="I14" s="25" t="s">
        <v>19</v>
      </c>
      <c r="J14" s="29" t="s">
        <v>451</v>
      </c>
      <c r="K14" s="18" t="s">
        <v>19</v>
      </c>
    </row>
    <row r="15" spans="1:11" s="41" customFormat="1">
      <c r="A15" s="42" t="s">
        <v>33</v>
      </c>
      <c r="B15" s="39"/>
      <c r="C15" s="43"/>
      <c r="D15" s="44"/>
      <c r="E15" s="45"/>
      <c r="F15" s="46"/>
      <c r="G15" s="43"/>
      <c r="H15" s="44">
        <f>'FY 2009 Coverage'!E36</f>
        <v>260</v>
      </c>
      <c r="I15" s="45">
        <v>248</v>
      </c>
      <c r="J15" s="46">
        <f>SUM(B15,D15,F15,H15)</f>
        <v>260</v>
      </c>
      <c r="K15" s="39">
        <f>SUM(C15,E15,G15,I15,)</f>
        <v>248</v>
      </c>
    </row>
    <row r="16" spans="1:11" s="41" customFormat="1">
      <c r="A16" s="42" t="s">
        <v>31</v>
      </c>
      <c r="B16" s="39"/>
      <c r="C16" s="43"/>
      <c r="D16" s="44"/>
      <c r="E16" s="45"/>
      <c r="F16" s="46"/>
      <c r="G16" s="43"/>
      <c r="H16" s="44"/>
      <c r="I16" s="45"/>
      <c r="J16" s="46">
        <f>SUM(B16,D16,F16,H16)</f>
        <v>0</v>
      </c>
      <c r="K16" s="39">
        <f>SUM(C16,E16,G16,I16,)</f>
        <v>0</v>
      </c>
    </row>
    <row r="17" spans="1:11" s="41" customFormat="1">
      <c r="A17" s="47" t="s">
        <v>28</v>
      </c>
      <c r="B17" s="48"/>
      <c r="C17" s="49"/>
      <c r="D17" s="50"/>
      <c r="E17" s="51"/>
      <c r="F17" s="52"/>
      <c r="G17" s="49"/>
      <c r="H17" s="50"/>
      <c r="I17" s="51"/>
      <c r="J17" s="52">
        <v>0</v>
      </c>
      <c r="K17" s="48">
        <v>0</v>
      </c>
    </row>
    <row r="18" spans="1:11" ht="13.5" thickBot="1">
      <c r="A18" s="20" t="s">
        <v>452</v>
      </c>
      <c r="B18" s="17">
        <f t="shared" ref="B18:K18" si="2">SUM(B15:B16)</f>
        <v>0</v>
      </c>
      <c r="C18" s="26">
        <f t="shared" si="2"/>
        <v>0</v>
      </c>
      <c r="D18" s="23">
        <f t="shared" si="2"/>
        <v>0</v>
      </c>
      <c r="E18" s="24">
        <f t="shared" si="2"/>
        <v>0</v>
      </c>
      <c r="F18" s="27">
        <f t="shared" si="2"/>
        <v>0</v>
      </c>
      <c r="G18" s="26">
        <f t="shared" si="2"/>
        <v>0</v>
      </c>
      <c r="H18" s="23">
        <f t="shared" si="2"/>
        <v>260</v>
      </c>
      <c r="I18" s="24">
        <f t="shared" si="2"/>
        <v>248</v>
      </c>
      <c r="J18" s="27">
        <f t="shared" si="2"/>
        <v>260</v>
      </c>
      <c r="K18" s="17">
        <f t="shared" si="2"/>
        <v>248</v>
      </c>
    </row>
    <row r="19" spans="1:11" ht="13.5" thickTop="1"/>
    <row r="21" spans="1:11">
      <c r="B21" s="37" t="s">
        <v>32</v>
      </c>
    </row>
  </sheetData>
  <mergeCells count="12">
    <mergeCell ref="A12:K12"/>
    <mergeCell ref="B13:C13"/>
    <mergeCell ref="D13:E13"/>
    <mergeCell ref="F13:G13"/>
    <mergeCell ref="H13:I13"/>
    <mergeCell ref="J13:K13"/>
    <mergeCell ref="J2:K2"/>
    <mergeCell ref="A1:I1"/>
    <mergeCell ref="B2:C2"/>
    <mergeCell ref="D2:E2"/>
    <mergeCell ref="F2:G2"/>
    <mergeCell ref="H2:I2"/>
  </mergeCells>
  <pageMargins left="0.75" right="0.75" top="1" bottom="1" header="0.5" footer="0.5"/>
  <pageSetup orientation="landscape" r:id="rId1"/>
  <headerFooter alignWithMargins="0">
    <oddHeader>&amp;C&amp;A</oddHeader>
    <oddFooter>&amp;L&amp;"Arial,Bold"Allen Systems Group, Inc. Confidential&amp;C&amp;D&amp;RPage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L39"/>
  <sheetViews>
    <sheetView topLeftCell="B1" zoomScaleNormal="100" workbookViewId="0">
      <selection activeCell="D2" sqref="D2"/>
    </sheetView>
  </sheetViews>
  <sheetFormatPr defaultRowHeight="12.75"/>
  <cols>
    <col min="1" max="1" width="16.5703125" hidden="1" customWidth="1"/>
    <col min="2" max="2" width="8.42578125" bestFit="1" customWidth="1"/>
    <col min="3" max="3" width="29.140625" customWidth="1"/>
    <col min="4" max="4" width="16.42578125" customWidth="1"/>
    <col min="5" max="5" width="11.7109375" customWidth="1"/>
    <col min="6" max="6" width="14.28515625" bestFit="1" customWidth="1"/>
    <col min="7" max="9" width="14" bestFit="1" customWidth="1"/>
    <col min="10" max="10" width="12.140625" customWidth="1"/>
    <col min="11" max="11" width="9.85546875" customWidth="1"/>
  </cols>
  <sheetData>
    <row r="1" spans="1:11" ht="13.5" thickBot="1">
      <c r="A1" s="17" t="s">
        <v>9</v>
      </c>
      <c r="B1" s="17" t="s">
        <v>0</v>
      </c>
      <c r="C1" s="17" t="s">
        <v>11</v>
      </c>
      <c r="D1" s="17" t="s">
        <v>10</v>
      </c>
      <c r="E1" s="154" t="s">
        <v>36</v>
      </c>
      <c r="F1" s="154" t="s">
        <v>440</v>
      </c>
      <c r="G1" s="152" t="s">
        <v>441</v>
      </c>
      <c r="H1" s="153" t="s">
        <v>442</v>
      </c>
      <c r="I1" s="153" t="s">
        <v>443</v>
      </c>
      <c r="J1" s="154" t="s">
        <v>439</v>
      </c>
      <c r="K1" s="153" t="s">
        <v>444</v>
      </c>
    </row>
    <row r="2" spans="1:11" s="41" customFormat="1" ht="13.5" thickTop="1">
      <c r="A2" s="39" t="s">
        <v>26</v>
      </c>
      <c r="B2" s="39" t="s">
        <v>24</v>
      </c>
      <c r="C2" s="39" t="s">
        <v>37</v>
      </c>
      <c r="D2" s="39" t="s">
        <v>33</v>
      </c>
      <c r="E2" s="40">
        <f>'Coverage-Detail-ProJcl-2010'!A12</f>
        <v>7</v>
      </c>
      <c r="F2" s="39"/>
      <c r="G2" s="39" t="s">
        <v>32</v>
      </c>
      <c r="H2" s="39"/>
      <c r="I2" s="39"/>
      <c r="J2" s="40">
        <f>COUNTIF('Coverage-Detail-ProJcl-2010'!D5:D11,"X")</f>
        <v>6</v>
      </c>
      <c r="K2" s="155">
        <f t="shared" ref="K2:K19" si="0">J2/E2*100</f>
        <v>85.714285714285708</v>
      </c>
    </row>
    <row r="3" spans="1:11" s="41" customFormat="1">
      <c r="A3" s="39" t="s">
        <v>26</v>
      </c>
      <c r="B3" s="39" t="s">
        <v>24</v>
      </c>
      <c r="C3" s="39" t="s">
        <v>38</v>
      </c>
      <c r="D3" s="39" t="s">
        <v>33</v>
      </c>
      <c r="E3" s="40">
        <f>SUM('Coverage-Detail-ProJcl-2010'!A32,'Coverage-Detail-ProJcl-2010'!A21)</f>
        <v>14</v>
      </c>
      <c r="F3" s="39"/>
      <c r="G3" s="39"/>
      <c r="H3" s="39"/>
      <c r="I3" s="39"/>
      <c r="J3" s="40">
        <f>COUNTIF('Coverage-Detail-ProJcl-2010'!D15:D31,"X")</f>
        <v>14</v>
      </c>
      <c r="K3" s="155">
        <f t="shared" si="0"/>
        <v>100</v>
      </c>
    </row>
    <row r="4" spans="1:11" s="41" customFormat="1">
      <c r="A4" s="39" t="s">
        <v>26</v>
      </c>
      <c r="B4" s="39" t="s">
        <v>24</v>
      </c>
      <c r="C4" s="39" t="s">
        <v>39</v>
      </c>
      <c r="D4" s="39" t="s">
        <v>33</v>
      </c>
      <c r="E4" s="40">
        <f>SUM('Coverage-Detail-ProJcl-2010'!A52,'Coverage-Detail-ProJcl-2010'!A87)</f>
        <v>50</v>
      </c>
      <c r="F4" s="39"/>
      <c r="G4" s="39"/>
      <c r="H4" s="39"/>
      <c r="I4" s="39"/>
      <c r="J4" s="40">
        <f>COUNTIF('Coverage-Detail-ProJcl-2010'!D34:D86,"X")</f>
        <v>49</v>
      </c>
      <c r="K4" s="155">
        <f t="shared" si="0"/>
        <v>98</v>
      </c>
    </row>
    <row r="5" spans="1:11" s="41" customFormat="1">
      <c r="A5" s="39" t="s">
        <v>26</v>
      </c>
      <c r="B5" s="39" t="s">
        <v>24</v>
      </c>
      <c r="C5" s="39" t="s">
        <v>40</v>
      </c>
      <c r="D5" s="39" t="s">
        <v>33</v>
      </c>
      <c r="E5" s="40">
        <f>'Coverage-Detail-ProJcl-2010'!A105</f>
        <v>15</v>
      </c>
      <c r="F5" s="39"/>
      <c r="G5" s="39"/>
      <c r="H5" s="39"/>
      <c r="I5" s="39"/>
      <c r="J5" s="40">
        <f>COUNTIF('Coverage-Detail-ProJcl-2010'!D90:D104,"X")</f>
        <v>13</v>
      </c>
      <c r="K5" s="155">
        <f t="shared" si="0"/>
        <v>86.666666666666671</v>
      </c>
    </row>
    <row r="6" spans="1:11" s="41" customFormat="1">
      <c r="A6" s="39" t="s">
        <v>26</v>
      </c>
      <c r="B6" s="39" t="s">
        <v>24</v>
      </c>
      <c r="C6" s="39" t="s">
        <v>41</v>
      </c>
      <c r="D6" s="39" t="s">
        <v>33</v>
      </c>
      <c r="E6" s="40">
        <f>'Coverage-Detail-ProJcl-2010'!A111</f>
        <v>3</v>
      </c>
      <c r="F6" s="39"/>
      <c r="G6" s="39"/>
      <c r="H6" s="39"/>
      <c r="I6" s="39"/>
      <c r="J6" s="40">
        <f>COUNTIF('Coverage-Detail-ProJcl-2010'!D108:D110,"X")</f>
        <v>3</v>
      </c>
      <c r="K6" s="155">
        <f t="shared" si="0"/>
        <v>100</v>
      </c>
    </row>
    <row r="7" spans="1:11" s="41" customFormat="1">
      <c r="A7" s="39" t="s">
        <v>26</v>
      </c>
      <c r="B7" s="39" t="s">
        <v>24</v>
      </c>
      <c r="C7" s="39" t="s">
        <v>42</v>
      </c>
      <c r="D7" s="39" t="s">
        <v>33</v>
      </c>
      <c r="E7" s="40">
        <f>'Coverage-Detail-ProJcl-2010'!A131</f>
        <v>0</v>
      </c>
      <c r="F7" s="39"/>
      <c r="G7" s="39"/>
      <c r="H7" s="39"/>
      <c r="I7" s="39"/>
      <c r="J7" s="40">
        <f>COUNTIF('Coverage-Detail-ProJcl-2010'!D114:D130,"X")</f>
        <v>17</v>
      </c>
      <c r="K7" s="155" t="e">
        <f t="shared" si="0"/>
        <v>#DIV/0!</v>
      </c>
    </row>
    <row r="8" spans="1:11" s="41" customFormat="1">
      <c r="A8" s="39" t="s">
        <v>26</v>
      </c>
      <c r="B8" s="39" t="s">
        <v>24</v>
      </c>
      <c r="C8" s="39" t="s">
        <v>438</v>
      </c>
      <c r="D8" s="39" t="s">
        <v>33</v>
      </c>
      <c r="E8" s="40">
        <f>'Coverage-Detail-ProJcl-2010'!A142</f>
        <v>7</v>
      </c>
      <c r="F8" s="39"/>
      <c r="G8" s="39"/>
      <c r="H8" s="39"/>
      <c r="I8" s="39"/>
      <c r="J8" s="40">
        <f>COUNTIF('Coverage-Detail-ProJcl-2010'!D133:D141,"X")</f>
        <v>5</v>
      </c>
      <c r="K8" s="155">
        <f t="shared" si="0"/>
        <v>71.428571428571431</v>
      </c>
    </row>
    <row r="9" spans="1:11" s="41" customFormat="1">
      <c r="A9" s="39" t="s">
        <v>26</v>
      </c>
      <c r="B9" s="39" t="s">
        <v>24</v>
      </c>
      <c r="C9" s="39" t="s">
        <v>43</v>
      </c>
      <c r="D9" s="39" t="s">
        <v>33</v>
      </c>
      <c r="E9" s="40">
        <f>'Coverage-Detail-ProJcl-2010'!A146</f>
        <v>1</v>
      </c>
      <c r="F9" s="39"/>
      <c r="G9" s="39"/>
      <c r="H9" s="39"/>
      <c r="I9" s="39"/>
      <c r="J9" s="40">
        <f>COUNTIF('Coverage-Detail-ProJcl-2010'!D144:D145,"X")</f>
        <v>0</v>
      </c>
      <c r="K9" s="155">
        <f t="shared" si="0"/>
        <v>0</v>
      </c>
    </row>
    <row r="10" spans="1:11" s="41" customFormat="1">
      <c r="A10" s="39" t="s">
        <v>26</v>
      </c>
      <c r="B10" s="39" t="s">
        <v>24</v>
      </c>
      <c r="C10" s="39" t="s">
        <v>44</v>
      </c>
      <c r="D10" s="39" t="s">
        <v>33</v>
      </c>
      <c r="E10" s="40">
        <f>'Coverage-Detail-ProJcl-2010'!A168</f>
        <v>20</v>
      </c>
      <c r="F10" s="39"/>
      <c r="G10" s="39"/>
      <c r="H10" s="39"/>
      <c r="I10" s="39"/>
      <c r="J10" s="40">
        <f>COUNTIF('Coverage-Detail-ProJcl-2010'!D148:D167,"X")</f>
        <v>16</v>
      </c>
      <c r="K10" s="155">
        <f t="shared" si="0"/>
        <v>80</v>
      </c>
    </row>
    <row r="11" spans="1:11" s="41" customFormat="1">
      <c r="A11" s="39" t="s">
        <v>26</v>
      </c>
      <c r="B11" s="39" t="s">
        <v>24</v>
      </c>
      <c r="C11" s="39" t="s">
        <v>45</v>
      </c>
      <c r="D11" s="39" t="s">
        <v>33</v>
      </c>
      <c r="E11" s="40">
        <f>'Coverage-Detail-ProJcl-2010'!A179</f>
        <v>8</v>
      </c>
      <c r="F11" s="39"/>
      <c r="G11" s="39"/>
      <c r="H11" s="39"/>
      <c r="I11" s="39"/>
      <c r="J11" s="40">
        <f>COUNTIF('Coverage-Detail-ProJcl-2010'!D171:D178,"X")</f>
        <v>8</v>
      </c>
      <c r="K11" s="155">
        <f t="shared" si="0"/>
        <v>100</v>
      </c>
    </row>
    <row r="12" spans="1:11" s="41" customFormat="1">
      <c r="A12" s="39" t="s">
        <v>26</v>
      </c>
      <c r="B12" s="39" t="s">
        <v>24</v>
      </c>
      <c r="C12" s="39" t="s">
        <v>46</v>
      </c>
      <c r="D12" s="39" t="s">
        <v>33</v>
      </c>
      <c r="E12" s="40">
        <f>SUM('Coverage-Detail-ProJcl-2010'!A201,'Coverage-Detail-ProJcl-2010'!A231)</f>
        <v>47</v>
      </c>
      <c r="F12" s="39"/>
      <c r="G12" s="39"/>
      <c r="H12" s="39"/>
      <c r="I12" s="39"/>
      <c r="J12" s="40">
        <f>COUNTIF('Coverage-Detail-ProJcl-2010'!D181:D230,"X")</f>
        <v>40</v>
      </c>
      <c r="K12" s="155">
        <f t="shared" si="0"/>
        <v>85.106382978723403</v>
      </c>
    </row>
    <row r="13" spans="1:11" s="41" customFormat="1">
      <c r="A13" s="39" t="s">
        <v>26</v>
      </c>
      <c r="B13" s="39" t="s">
        <v>24</v>
      </c>
      <c r="C13" s="39" t="s">
        <v>47</v>
      </c>
      <c r="D13" s="39" t="s">
        <v>33</v>
      </c>
      <c r="E13" s="40">
        <f>'Coverage-Detail-ProJcl-2010'!A260</f>
        <v>26</v>
      </c>
      <c r="F13" s="39"/>
      <c r="G13" s="39"/>
      <c r="H13" s="39"/>
      <c r="I13" s="39"/>
      <c r="J13" s="40">
        <f>COUNTIF('Coverage-Detail-ProJcl-2010'!D234:D259,"X")</f>
        <v>20</v>
      </c>
      <c r="K13" s="155">
        <f t="shared" si="0"/>
        <v>76.923076923076934</v>
      </c>
    </row>
    <row r="14" spans="1:11" s="41" customFormat="1">
      <c r="A14" s="39" t="s">
        <v>26</v>
      </c>
      <c r="B14" s="39" t="s">
        <v>24</v>
      </c>
      <c r="C14" s="39" t="s">
        <v>48</v>
      </c>
      <c r="D14" s="39" t="s">
        <v>33</v>
      </c>
      <c r="E14" s="40">
        <f>'Coverage-Detail-ProJcl-2010'!A264</f>
        <v>1</v>
      </c>
      <c r="F14" s="39"/>
      <c r="G14" s="39"/>
      <c r="H14" s="39"/>
      <c r="I14" s="39"/>
      <c r="J14" s="40">
        <f>COUNTIF('Coverage-Detail-ProJcl-2010'!D262:D263,"X")</f>
        <v>1</v>
      </c>
      <c r="K14" s="155">
        <f t="shared" si="0"/>
        <v>100</v>
      </c>
    </row>
    <row r="15" spans="1:11" s="41" customFormat="1">
      <c r="A15" s="39" t="s">
        <v>26</v>
      </c>
      <c r="B15" s="39" t="s">
        <v>24</v>
      </c>
      <c r="C15" s="39" t="s">
        <v>49</v>
      </c>
      <c r="D15" s="39" t="s">
        <v>33</v>
      </c>
      <c r="E15" s="40">
        <f>'Coverage-Detail-ProJcl-2010'!A274</f>
        <v>7</v>
      </c>
      <c r="F15" s="39"/>
      <c r="G15" s="39"/>
      <c r="H15" s="39"/>
      <c r="I15" s="39"/>
      <c r="J15" s="40">
        <f>COUNTIF('Coverage-Detail-ProJcl-2010'!D266:D272,"X")</f>
        <v>6</v>
      </c>
      <c r="K15" s="155">
        <f t="shared" si="0"/>
        <v>85.714285714285708</v>
      </c>
    </row>
    <row r="16" spans="1:11" s="41" customFormat="1">
      <c r="A16" s="39" t="s">
        <v>26</v>
      </c>
      <c r="B16" s="39" t="s">
        <v>24</v>
      </c>
      <c r="C16" s="39" t="s">
        <v>50</v>
      </c>
      <c r="D16" s="39" t="s">
        <v>33</v>
      </c>
      <c r="E16" s="40">
        <f>'Coverage-Detail-ProJcl-2010'!A284</f>
        <v>7</v>
      </c>
      <c r="F16" s="39"/>
      <c r="G16" s="39"/>
      <c r="H16" s="39"/>
      <c r="I16" s="39"/>
      <c r="J16" s="40">
        <f>COUNTIF('Coverage-Detail-ProJcl-2010'!D276:D282,"X")</f>
        <v>6</v>
      </c>
      <c r="K16" s="155">
        <f t="shared" si="0"/>
        <v>85.714285714285708</v>
      </c>
    </row>
    <row r="17" spans="1:12" s="41" customFormat="1">
      <c r="A17" s="39" t="s">
        <v>26</v>
      </c>
      <c r="B17" s="39" t="s">
        <v>24</v>
      </c>
      <c r="C17" s="39" t="s">
        <v>51</v>
      </c>
      <c r="D17" s="39" t="s">
        <v>33</v>
      </c>
      <c r="E17" s="40">
        <f>'Coverage-Detail-ProJcl-2010'!A288</f>
        <v>1</v>
      </c>
      <c r="F17" s="39"/>
      <c r="G17" s="39"/>
      <c r="H17" s="39"/>
      <c r="I17" s="39"/>
      <c r="J17" s="40">
        <f>COUNTIF('Coverage-Detail-ProJcl-2010'!D286:D287,"X")</f>
        <v>1</v>
      </c>
      <c r="K17" s="155">
        <f t="shared" si="0"/>
        <v>100</v>
      </c>
    </row>
    <row r="18" spans="1:12" s="41" customFormat="1">
      <c r="A18" s="39" t="s">
        <v>26</v>
      </c>
      <c r="B18" s="39" t="s">
        <v>24</v>
      </c>
      <c r="C18" s="39" t="s">
        <v>52</v>
      </c>
      <c r="D18" s="39" t="s">
        <v>33</v>
      </c>
      <c r="E18" s="40">
        <f>'Coverage-Detail-ProJcl-2010'!A300</f>
        <v>8</v>
      </c>
      <c r="F18" s="39"/>
      <c r="G18" s="39"/>
      <c r="H18" s="39"/>
      <c r="I18" s="39"/>
      <c r="J18" s="40">
        <f>COUNTIF('Coverage-Detail-ProJcl-2010'!D290:D299,"X")</f>
        <v>5</v>
      </c>
      <c r="K18" s="155">
        <f t="shared" si="0"/>
        <v>62.5</v>
      </c>
    </row>
    <row r="19" spans="1:12" s="41" customFormat="1">
      <c r="A19" s="39" t="s">
        <v>26</v>
      </c>
      <c r="B19" s="39" t="s">
        <v>24</v>
      </c>
      <c r="C19" s="39" t="s">
        <v>53</v>
      </c>
      <c r="D19" s="39" t="s">
        <v>33</v>
      </c>
      <c r="E19" s="40">
        <f>SUM('Coverage-Detail-ProJcl-2010'!A320,'Coverage-Detail-ProJcl-2010'!A343)</f>
        <v>38</v>
      </c>
      <c r="F19" s="39"/>
      <c r="G19" s="39"/>
      <c r="H19" s="39"/>
      <c r="I19" s="39"/>
      <c r="J19" s="40">
        <f>COUNTIF('Coverage-Detail-ProJcl-2010'!D302:D342,"X")</f>
        <v>35</v>
      </c>
      <c r="K19" s="155">
        <f t="shared" si="0"/>
        <v>92.10526315789474</v>
      </c>
    </row>
    <row r="20" spans="1:12" s="41" customFormat="1">
      <c r="A20" s="39" t="s">
        <v>3</v>
      </c>
      <c r="B20" s="39" t="s">
        <v>24</v>
      </c>
      <c r="C20" s="39" t="s">
        <v>54</v>
      </c>
      <c r="D20" s="39" t="s">
        <v>28</v>
      </c>
      <c r="E20" s="40"/>
      <c r="F20" s="39"/>
      <c r="G20" s="39"/>
      <c r="H20" s="39"/>
      <c r="I20" s="39"/>
      <c r="J20" s="40" t="s">
        <v>32</v>
      </c>
      <c r="K20" s="155"/>
      <c r="L20" s="41" t="s">
        <v>32</v>
      </c>
    </row>
    <row r="21" spans="1:12" s="41" customFormat="1">
      <c r="A21" s="39" t="s">
        <v>3</v>
      </c>
      <c r="B21" s="39" t="s">
        <v>24</v>
      </c>
      <c r="C21" s="39" t="s">
        <v>55</v>
      </c>
      <c r="D21" s="39" t="s">
        <v>28</v>
      </c>
      <c r="E21" s="40"/>
      <c r="F21" s="39"/>
      <c r="G21" s="39"/>
      <c r="H21" s="39"/>
      <c r="I21" s="39"/>
      <c r="J21" s="40"/>
      <c r="K21" s="155"/>
    </row>
    <row r="22" spans="1:12" s="41" customFormat="1">
      <c r="A22" s="39" t="s">
        <v>3</v>
      </c>
      <c r="B22" s="39" t="s">
        <v>24</v>
      </c>
      <c r="C22" s="39" t="s">
        <v>42</v>
      </c>
      <c r="D22" s="39" t="s">
        <v>28</v>
      </c>
      <c r="E22" s="40"/>
      <c r="F22" s="39"/>
      <c r="G22" s="39"/>
      <c r="H22" s="39"/>
      <c r="I22" s="39"/>
      <c r="J22" s="40"/>
      <c r="K22" s="155"/>
    </row>
    <row r="23" spans="1:12" s="41" customFormat="1">
      <c r="A23" s="39" t="s">
        <v>3</v>
      </c>
      <c r="B23" s="39" t="s">
        <v>24</v>
      </c>
      <c r="C23" s="39" t="s">
        <v>56</v>
      </c>
      <c r="D23" s="39" t="s">
        <v>28</v>
      </c>
      <c r="E23" s="40"/>
      <c r="F23" s="39"/>
      <c r="G23" s="39"/>
      <c r="H23" s="39"/>
      <c r="I23" s="39"/>
      <c r="J23" s="40"/>
      <c r="K23" s="155"/>
    </row>
    <row r="24" spans="1:12" s="41" customFormat="1">
      <c r="A24" s="39" t="s">
        <v>3</v>
      </c>
      <c r="B24" s="39" t="s">
        <v>24</v>
      </c>
      <c r="C24" s="39" t="s">
        <v>57</v>
      </c>
      <c r="D24" s="39" t="s">
        <v>28</v>
      </c>
      <c r="E24" s="40"/>
      <c r="F24" s="39"/>
      <c r="G24" s="39"/>
      <c r="H24" s="39"/>
      <c r="I24" s="39"/>
      <c r="J24" s="40"/>
      <c r="K24" s="155"/>
    </row>
    <row r="25" spans="1:12" s="41" customFormat="1">
      <c r="A25" s="39" t="s">
        <v>3</v>
      </c>
      <c r="B25" s="39" t="s">
        <v>24</v>
      </c>
      <c r="C25" s="39" t="s">
        <v>58</v>
      </c>
      <c r="D25" s="39" t="s">
        <v>28</v>
      </c>
      <c r="E25" s="40"/>
      <c r="F25" s="39"/>
      <c r="G25" s="39"/>
      <c r="H25" s="39"/>
      <c r="I25" s="39"/>
      <c r="J25" s="40"/>
      <c r="K25" s="155"/>
    </row>
    <row r="26" spans="1:12" s="41" customFormat="1">
      <c r="A26" s="39"/>
      <c r="B26" s="39" t="s">
        <v>24</v>
      </c>
      <c r="C26" s="39" t="s">
        <v>446</v>
      </c>
      <c r="D26" s="39" t="s">
        <v>28</v>
      </c>
      <c r="E26" s="40"/>
      <c r="F26" s="39"/>
      <c r="G26" s="39"/>
      <c r="H26" s="39"/>
      <c r="I26" s="39"/>
      <c r="J26" s="40"/>
      <c r="K26" s="155"/>
    </row>
    <row r="27" spans="1:12" s="41" customFormat="1" ht="13.5" thickBot="1">
      <c r="A27" s="39"/>
      <c r="B27" s="39"/>
      <c r="C27" s="157" t="s">
        <v>447</v>
      </c>
      <c r="D27" s="39"/>
      <c r="E27" s="16">
        <f t="shared" ref="E27:J27" si="1">SUM(E2:E26)</f>
        <v>260</v>
      </c>
      <c r="F27" s="16">
        <f t="shared" si="1"/>
        <v>0</v>
      </c>
      <c r="G27" s="16">
        <f t="shared" si="1"/>
        <v>0</v>
      </c>
      <c r="H27" s="16">
        <f t="shared" si="1"/>
        <v>0</v>
      </c>
      <c r="I27" s="16">
        <f t="shared" si="1"/>
        <v>0</v>
      </c>
      <c r="J27" s="16">
        <f t="shared" si="1"/>
        <v>245</v>
      </c>
      <c r="K27" s="155">
        <f>J27/E27*100</f>
        <v>94.230769230769226</v>
      </c>
    </row>
    <row r="28" spans="1:12" s="41" customFormat="1" ht="13.5" thickTop="1">
      <c r="A28" s="39"/>
      <c r="B28" s="39"/>
      <c r="C28" s="39"/>
      <c r="D28" s="39"/>
      <c r="E28" s="40"/>
      <c r="F28" s="39"/>
      <c r="G28" s="39"/>
      <c r="H28" s="39"/>
      <c r="I28" s="39"/>
      <c r="J28" s="40"/>
      <c r="K28" s="155"/>
    </row>
    <row r="29" spans="1:12" s="41" customFormat="1">
      <c r="A29" s="39" t="s">
        <v>26</v>
      </c>
      <c r="B29" s="39" t="s">
        <v>27</v>
      </c>
      <c r="C29" s="39"/>
      <c r="D29" s="39" t="s">
        <v>28</v>
      </c>
      <c r="E29" s="40"/>
      <c r="F29" s="39"/>
      <c r="G29" s="39"/>
      <c r="H29" s="39"/>
      <c r="I29" s="39"/>
      <c r="J29" s="40"/>
      <c r="K29" s="155"/>
    </row>
    <row r="30" spans="1:12">
      <c r="A30" s="15"/>
      <c r="B30" s="15"/>
      <c r="C30" s="15"/>
      <c r="D30" s="15"/>
      <c r="E30" s="14"/>
      <c r="F30" s="15"/>
      <c r="G30" s="2"/>
      <c r="H30" s="2"/>
      <c r="I30" s="2"/>
      <c r="J30" s="9"/>
      <c r="K30" s="156"/>
    </row>
    <row r="31" spans="1:12" ht="13.5" thickBot="1">
      <c r="A31" s="15"/>
      <c r="B31" s="15"/>
      <c r="C31" s="157" t="s">
        <v>447</v>
      </c>
      <c r="D31" s="39"/>
      <c r="E31" s="16">
        <f t="shared" ref="E31:J31" si="2">SUM(E29:E30)</f>
        <v>0</v>
      </c>
      <c r="F31" s="16">
        <f t="shared" si="2"/>
        <v>0</v>
      </c>
      <c r="G31" s="16">
        <f t="shared" si="2"/>
        <v>0</v>
      </c>
      <c r="H31" s="16">
        <f t="shared" si="2"/>
        <v>0</v>
      </c>
      <c r="I31" s="16">
        <f t="shared" si="2"/>
        <v>0</v>
      </c>
      <c r="J31" s="16">
        <f t="shared" si="2"/>
        <v>0</v>
      </c>
      <c r="K31" s="155"/>
    </row>
    <row r="32" spans="1:12" ht="13.5" thickTop="1">
      <c r="A32" s="15"/>
      <c r="B32" s="15"/>
      <c r="C32" s="15"/>
      <c r="D32" s="15"/>
      <c r="E32" s="14"/>
      <c r="F32" s="15"/>
      <c r="G32" s="2"/>
      <c r="H32" s="2"/>
      <c r="I32" s="2"/>
      <c r="J32" s="9"/>
      <c r="K32" s="156"/>
    </row>
    <row r="33" spans="1:11">
      <c r="A33" s="15"/>
      <c r="B33" s="15"/>
      <c r="C33" s="15"/>
      <c r="D33" s="15"/>
      <c r="E33" s="14"/>
      <c r="F33" s="15"/>
      <c r="G33" s="2"/>
      <c r="H33" s="2"/>
      <c r="I33" s="2"/>
      <c r="J33" s="9"/>
      <c r="K33" s="156"/>
    </row>
    <row r="34" spans="1:11">
      <c r="A34" s="15"/>
      <c r="B34" s="15"/>
      <c r="C34" s="15"/>
      <c r="D34" s="15"/>
      <c r="E34" s="14"/>
      <c r="F34" s="15"/>
      <c r="G34" s="2"/>
      <c r="H34" s="2"/>
      <c r="I34" s="2"/>
      <c r="J34" s="9"/>
      <c r="K34" s="156"/>
    </row>
    <row r="35" spans="1:11">
      <c r="A35" s="15"/>
      <c r="B35" s="15"/>
      <c r="C35" s="15"/>
      <c r="D35" s="15"/>
      <c r="E35" s="14"/>
      <c r="F35" s="15"/>
      <c r="G35" s="2"/>
      <c r="H35" s="2"/>
      <c r="I35" s="2"/>
      <c r="J35" s="9"/>
      <c r="K35" s="156"/>
    </row>
    <row r="36" spans="1:11" ht="13.5" thickBot="1">
      <c r="C36" s="157" t="s">
        <v>448</v>
      </c>
      <c r="E36" s="16">
        <f t="shared" ref="E36:J36" si="3">SUM(E27+E31)</f>
        <v>260</v>
      </c>
      <c r="F36" s="16">
        <f t="shared" si="3"/>
        <v>0</v>
      </c>
      <c r="G36" s="16">
        <f t="shared" si="3"/>
        <v>0</v>
      </c>
      <c r="H36" s="16">
        <f t="shared" si="3"/>
        <v>0</v>
      </c>
      <c r="I36" s="16">
        <f t="shared" si="3"/>
        <v>0</v>
      </c>
      <c r="J36" s="16">
        <f t="shared" si="3"/>
        <v>245</v>
      </c>
    </row>
    <row r="37" spans="1:11" ht="13.5" thickTop="1"/>
    <row r="38" spans="1:11">
      <c r="B38" s="37" t="s">
        <v>445</v>
      </c>
      <c r="E38" s="6"/>
      <c r="J38" s="6"/>
    </row>
    <row r="39" spans="1:11">
      <c r="E39" s="6"/>
      <c r="G39" s="37" t="s">
        <v>32</v>
      </c>
      <c r="J39" s="6"/>
    </row>
  </sheetData>
  <pageMargins left="0.75" right="0.75" top="1" bottom="1" header="0.5" footer="0.5"/>
  <pageSetup scale="85" orientation="landscape" r:id="rId1"/>
  <headerFooter alignWithMargins="0">
    <oddHeader>&amp;C&amp;A</oddHeader>
    <oddFooter>&amp;L&amp;"Arial,Bold"Allen Systems Group, Inc. Confidential&amp;C&amp;D&amp;RPage &amp;P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FY10 Totals</vt:lpstr>
      <vt:lpstr>FY2010 Coverage</vt:lpstr>
      <vt:lpstr>Coverage-Detail-ProJcl-2010</vt:lpstr>
      <vt:lpstr>Coverage-Detail-Infox-2010</vt:lpstr>
      <vt:lpstr>Automation FY2010</vt:lpstr>
      <vt:lpstr>Automation FY09</vt:lpstr>
      <vt:lpstr>FY09 Totals</vt:lpstr>
      <vt:lpstr>FY 2009 Coverage</vt:lpstr>
      <vt:lpstr>'Automation FY09'!Print_Titles</vt:lpstr>
    </vt:vector>
  </TitlesOfParts>
  <Company>ASG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Chin</dc:creator>
  <cp:lastModifiedBy>ASG</cp:lastModifiedBy>
  <cp:lastPrinted>2010-04-30T15:09:12Z</cp:lastPrinted>
  <dcterms:created xsi:type="dcterms:W3CDTF">2006-06-12T12:16:14Z</dcterms:created>
  <dcterms:modified xsi:type="dcterms:W3CDTF">2010-05-21T23:03:34Z</dcterms:modified>
</cp:coreProperties>
</file>